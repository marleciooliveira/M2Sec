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Parametros" sheetId="2" state="visible" r:id="rId4"/>
    <sheet name="Catalogo" sheetId="3" state="visible" r:id="rId5"/>
    <sheet name="Triagem" sheetId="4" state="visible" r:id="rId6"/>
    <sheet name="Casos" sheetId="5" state="visible" r:id="rId7"/>
    <sheet name="Painel" sheetId="6" state="visible" r:id="rId8"/>
  </sheets>
  <definedNames>
    <definedName function="false" hidden="true" localSheetId="3" name="_xlnm._FilterDatabase" vbProcedure="false">Triagem!$A$1:$R$201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<sst xmlns="http://schemas.openxmlformats.org/spreadsheetml/2006/main" count="378" uniqueCount="288">
  <si>
    <t xml:space="preserve">M3sec — Planilha Operacional de Triagem</t>
  </si>
  <si>
    <t xml:space="preserve">Versao 1.0 — agosto/2026</t>
  </si>
  <si>
    <t xml:space="preserve">LEGENDA DE CORES</t>
  </si>
  <si>
    <t xml:space="preserve">Texto AZUL</t>
  </si>
  <si>
    <t xml:space="preserve">Celula de preenchimento manual. Voce edita.</t>
  </si>
  <si>
    <t xml:space="preserve">Texto PRETO</t>
  </si>
  <si>
    <t xml:space="preserve">Formula. Nao editar — o valor e calculado.</t>
  </si>
  <si>
    <t xml:space="preserve">Fundo AMARELO</t>
  </si>
  <si>
    <t xml:space="preserve">Premissa comercial. Revisar antes de usar em producao.</t>
  </si>
  <si>
    <t xml:space="preserve">ABAS</t>
  </si>
  <si>
    <t xml:space="preserve">Parametros</t>
  </si>
  <si>
    <t xml:space="preserve">Precos, SLA e percentual de exito esperado por faixa. Comece por aqui.</t>
  </si>
  <si>
    <t xml:space="preserve">Catalogo</t>
  </si>
  <si>
    <t xml:space="preserve">Tipos de conteudo com faixa, fundamento juridico e camada de ataque. Base de todo o resto.</t>
  </si>
  <si>
    <t xml:space="preserve">Triagem</t>
  </si>
  <si>
    <t xml:space="preserve">Aba de trabalho diario. Uma linha por ITEM (uma URL). Preencha as colunas azuis.</t>
  </si>
  <si>
    <t xml:space="preserve">Casos</t>
  </si>
  <si>
    <t xml:space="preserve">Consolidacao por caso: contagem de itens por faixa, receita e taxa de exito.</t>
  </si>
  <si>
    <t xml:space="preserve">Painel</t>
  </si>
  <si>
    <t xml:space="preserve">Indicadores gerais. Somente leitura.</t>
  </si>
  <si>
    <t xml:space="preserve">COMO USAR — PASSO A PASSO</t>
  </si>
  <si>
    <t xml:space="preserve">1. Diagnostico</t>
  </si>
  <si>
    <t xml:space="preserve">Para cada URL encontrada na varredura, crie uma linha na aba Triagem.</t>
  </si>
  <si>
    <t xml:space="preserve">2. Classificar</t>
  </si>
  <si>
    <t xml:space="preserve">Selecione o Tipo de conteudo na lista suspensa. Faixa, fundamento, camada, prazo e preco sao preenchidos automaticamente.</t>
  </si>
  <si>
    <t xml:space="preserve">3. Faixa D</t>
  </si>
  <si>
    <t xml:space="preserve">Aparece no relatorio do cliente como NAO EXECUTAVEL e com valor zero. Nunca cobrar.</t>
  </si>
  <si>
    <t xml:space="preserve">4. Executar</t>
  </si>
  <si>
    <t xml:space="preserve">Atualize o Status a cada movimentacao. Ordem obrigatoria: Fonte &gt; Plataforma &gt; Indexador.</t>
  </si>
  <si>
    <t xml:space="preserve">5. Verificar</t>
  </si>
  <si>
    <t xml:space="preserve">So marque VERIFICADO apos confirmar em busca anonima. So ha faturamento de exito apos verificacao.</t>
  </si>
  <si>
    <t xml:space="preserve">6. Calibrar</t>
  </si>
  <si>
    <t xml:space="preserve">A cada 20 casos, compare o exito real com o esperado. Divergencia acima de 20% exige reclassificar o tipo no Catalogo.</t>
  </si>
  <si>
    <t xml:space="preserve">REGRA INEGOCIAVEL</t>
  </si>
  <si>
    <t xml:space="preserve">Item de Faixa D nunca e cobrado e nunca e executado. O relatorio que recusa cobrar e a principal peca de conversao comercial da M3sec.</t>
  </si>
  <si>
    <t xml:space="preserve">AVISO</t>
  </si>
  <si>
    <t xml:space="preserve">Os fundamentos juridicos sao referencias de trabalho, nao parecer. Validar com o advogado parceiro antes do primeiro caso.</t>
  </si>
  <si>
    <t xml:space="preserve">Os precos sao premissas iniciais, nao cotacao. Recalibrar com dados reais apos os 10 primeiros casos.</t>
  </si>
  <si>
    <t xml:space="preserve">PARAMETROS COMERCIAIS</t>
  </si>
  <si>
    <t xml:space="preserve">Celulas azuis com fundo amarelo sao premissas. Ajuste antes de usar.</t>
  </si>
  <si>
    <t xml:space="preserve">Valores fixos</t>
  </si>
  <si>
    <t xml:space="preserve">Item</t>
  </si>
  <si>
    <t xml:space="preserve">Valor (R$)</t>
  </si>
  <si>
    <t xml:space="preserve">Observacao</t>
  </si>
  <si>
    <t xml:space="preserve">Diagnostico (por caso)</t>
  </si>
  <si>
    <t xml:space="preserve">Sempre cobrado. Filtra curioso e cobre o custo da varredura.</t>
  </si>
  <si>
    <t xml:space="preserve">Execucao Faixa B (por item)</t>
  </si>
  <si>
    <t xml:space="preserve">Cobre o custo de certidoes e horas em caso de exito incerto.</t>
  </si>
  <si>
    <t xml:space="preserve">Monitoramento PF (mensal)</t>
  </si>
  <si>
    <t xml:space="preserve">Receita recorrente. Metrica que define a sustentabilidade do negocio.</t>
  </si>
  <si>
    <t xml:space="preserve">Monitoramento PJ (mensal)</t>
  </si>
  <si>
    <t xml:space="preserve">Empresas, executivos e escritorios parceiros.</t>
  </si>
  <si>
    <t xml:space="preserve">Tabela por faixa</t>
  </si>
  <si>
    <t xml:space="preserve">Faixa</t>
  </si>
  <si>
    <t xml:space="preserve">Exito esperado</t>
  </si>
  <si>
    <t xml:space="preserve">Preco de exito (R$)</t>
  </si>
  <si>
    <t xml:space="preserve">SLA (dias)</t>
  </si>
  <si>
    <t xml:space="preserve">Regra comercial</t>
  </si>
  <si>
    <t xml:space="preserve">A</t>
  </si>
  <si>
    <t xml:space="preserve">Aceitar. Prazo prometido. Prioridade de execucao.</t>
  </si>
  <si>
    <t xml:space="preserve">B</t>
  </si>
  <si>
    <t xml:space="preserve">Aceitar com prognostico escrito. Exito parcial e resultado valido.</t>
  </si>
  <si>
    <t xml:space="preserve">C</t>
  </si>
  <si>
    <t xml:space="preserve">Somente com termo de ciencia. Sem promessa. Cobranca so por exito.</t>
  </si>
  <si>
    <t xml:space="preserve">D</t>
  </si>
  <si>
    <t xml:space="preserve">RECUSAR. Sem cobranca, sem execucao.</t>
  </si>
  <si>
    <t xml:space="preserve">Fonte dos valores: premissas definidas pelo usuario em agosto/2026. Nenhum valor deriva de cotacao de mercado.</t>
  </si>
  <si>
    <t xml:space="preserve">ID</t>
  </si>
  <si>
    <t xml:space="preserve">Tipo de conteudo</t>
  </si>
  <si>
    <t xml:space="preserve">Fundamento</t>
  </si>
  <si>
    <t xml:space="preserve">Camada prioritaria</t>
  </si>
  <si>
    <t xml:space="preserve">Prazo tipico</t>
  </si>
  <si>
    <t xml:space="preserve">Condicao / observacao</t>
  </si>
  <si>
    <t xml:space="preserve">T01</t>
  </si>
  <si>
    <t xml:space="preserve">Processo em segredo de justica indevidamente indexado</t>
  </si>
  <si>
    <t xml:space="preserve">CPC art. 189</t>
  </si>
  <si>
    <t xml:space="preserve">Fonte (Tribunal)</t>
  </si>
  <si>
    <t xml:space="preserve">5-20 dias</t>
  </si>
  <si>
    <t xml:space="preserve">Confirmar decreto de sigilo. Erro de classificacao na origem.</t>
  </si>
  <si>
    <t xml:space="preserve">T02</t>
  </si>
  <si>
    <t xml:space="preserve">Dados de crianca ou adolescente</t>
  </si>
  <si>
    <t xml:space="preserve">ECA arts. 17 e 143; LGPD art. 14</t>
  </si>
  <si>
    <t xml:space="preserve">Plataforma</t>
  </si>
  <si>
    <t xml:space="preserve">2-10 dias</t>
  </si>
  <si>
    <t xml:space="preserve">Prioridade maxima. Plataformas removem de imediato apos notificacao.</t>
  </si>
  <si>
    <t xml:space="preserve">T03</t>
  </si>
  <si>
    <t xml:space="preserve">Acao de familia (divorcio, alimentos, guarda, paternidade)</t>
  </si>
  <si>
    <t xml:space="preserve">CPC art. 189, II</t>
  </si>
  <si>
    <t xml:space="preserve">10-30 dias</t>
  </si>
  <si>
    <t xml:space="preserve">Segredo por natureza. Pedir correcao de classificacao no tribunal.</t>
  </si>
  <si>
    <t xml:space="preserve">T04</t>
  </si>
  <si>
    <t xml:space="preserve">Dados sensiveis (saude, interdicao, orientacao sexual, religiao)</t>
  </si>
  <si>
    <t xml:space="preserve">LGPD arts. 5o II e 11</t>
  </si>
  <si>
    <t xml:space="preserve">Identificar o dado sensivel especifico no pedido.</t>
  </si>
  <si>
    <t xml:space="preserve">T05</t>
  </si>
  <si>
    <t xml:space="preserve">Conteudo intimo nao consensual</t>
  </si>
  <si>
    <t xml:space="preserve">Marco Civil art. 21; Lei 13.718/2018</t>
  </si>
  <si>
    <t xml:space="preserve">Hospedeiro</t>
  </si>
  <si>
    <t xml:space="preserve">1-7 dias</t>
  </si>
  <si>
    <t xml:space="preserve">Remocao independe de ordem judicial. Tratar como urgencia.</t>
  </si>
  <si>
    <t xml:space="preserve">T06</t>
  </si>
  <si>
    <t xml:space="preserve">Dados de contato (endereco, telefone, e-mail, CPF, RG)</t>
  </si>
  <si>
    <t xml:space="preserve">LGPD art. 18</t>
  </si>
  <si>
    <t xml:space="preserve">Indexador (Google)</t>
  </si>
  <si>
    <t xml:space="preserve">3-15 dias</t>
  </si>
  <si>
    <t xml:space="preserve">Ferramenta propria do Google. Cliente conclui com a propria identidade.</t>
  </si>
  <si>
    <t xml:space="preserve">T07</t>
  </si>
  <si>
    <t xml:space="preserve">Homonimo - processo de terceiro atribuido ao cliente</t>
  </si>
  <si>
    <t xml:space="preserve">LGPD art. 18, III</t>
  </si>
  <si>
    <t xml:space="preserve">5-15 dias</t>
  </si>
  <si>
    <t xml:space="preserve">Anexar prova de que o CPF nao corresponde.</t>
  </si>
  <si>
    <t xml:space="preserve">T08</t>
  </si>
  <si>
    <t xml:space="preserve">Processo excluido na fonte, ainda em cache ou indice</t>
  </si>
  <si>
    <t xml:space="preserve">LGPD art. 18, IV</t>
  </si>
  <si>
    <t xml:space="preserve">3-10 dias</t>
  </si>
  <si>
    <t xml:space="preserve">Comprovar que a URL de origem ja nao existe.</t>
  </si>
  <si>
    <t xml:space="preserve">T09</t>
  </si>
  <si>
    <t xml:space="preserve">Criminal com absolvicao transitada em julgado</t>
  </si>
  <si>
    <t xml:space="preserve">CP art. 93; desindexacao</t>
  </si>
  <si>
    <t xml:space="preserve">30-60 dias</t>
  </si>
  <si>
    <t xml:space="preserve">Exige certidao de transito em julgado. Sem ela, reclassificar para C.</t>
  </si>
  <si>
    <t xml:space="preserve">T10</t>
  </si>
  <si>
    <t xml:space="preserve">Inquerito arquivado sem denuncia</t>
  </si>
  <si>
    <t xml:space="preserve">Ausencia de acusacao formal; LGPD art. 18</t>
  </si>
  <si>
    <t xml:space="preserve">20-45 dias</t>
  </si>
  <si>
    <t xml:space="preserve">Argumento forte: nao houve processo. Anexar certidao de arquivamento.</t>
  </si>
  <si>
    <t xml:space="preserve">T11</t>
  </si>
  <si>
    <t xml:space="preserve">Pena cumprida ou extinta ha mais de 2 anos</t>
  </si>
  <si>
    <t xml:space="preserve">LEP art. 202</t>
  </si>
  <si>
    <t xml:space="preserve">Fundamento subutilizado pelo mercado. Explorar.</t>
  </si>
  <si>
    <t xml:space="preserve">T12</t>
  </si>
  <si>
    <t xml:space="preserve">Reclamacao trabalhista - cliente como reclamante</t>
  </si>
  <si>
    <t xml:space="preserve">Vedacao do CNJ a busca por nome de parte</t>
  </si>
  <si>
    <t xml:space="preserve">20-60 dias</t>
  </si>
  <si>
    <t xml:space="preserve">Ha precedente favoravel. Argumentar inocuidade da medida do CNJ.</t>
  </si>
  <si>
    <t xml:space="preserve">T13</t>
  </si>
  <si>
    <t xml:space="preserve">Materia jornalistica com erro factual comprovado</t>
  </si>
  <si>
    <t xml:space="preserve">Ilicitude do conteudo (fora do Tema 786)</t>
  </si>
  <si>
    <t xml:space="preserve">Veiculo</t>
  </si>
  <si>
    <t xml:space="preserve">15-45 dias</t>
  </si>
  <si>
    <t xml:space="preserve">Exige prova documental do erro. Sem prova, e Faixa D.</t>
  </si>
  <si>
    <t xml:space="preserve">T14</t>
  </si>
  <si>
    <t xml:space="preserve">Dados profissionais agregados (curriculo, vinculos societarios)</t>
  </si>
  <si>
    <t xml:space="preserve">LGPD art. 18, par. 2o</t>
  </si>
  <si>
    <t xml:space="preserve">15-40 dias</t>
  </si>
  <si>
    <t xml:space="preserve">Depende da politica interna da plataforma.</t>
  </si>
  <si>
    <t xml:space="preserve">T15</t>
  </si>
  <si>
    <t xml:space="preserve">Civel encerrado com sentenca favoravel</t>
  </si>
  <si>
    <t xml:space="preserve">Desindexacao; desatualizacao</t>
  </si>
  <si>
    <t xml:space="preserve">Argumento de contexto: resultado favoravel ao titular.</t>
  </si>
  <si>
    <t xml:space="preserve">T16</t>
  </si>
  <si>
    <t xml:space="preserve">Civel comum em andamento (cobranca, consumidor, execucao)</t>
  </si>
  <si>
    <t xml:space="preserve">Sem fundamento robusto</t>
  </si>
  <si>
    <t xml:space="preserve">60-90 dias</t>
  </si>
  <si>
    <t xml:space="preserve">Jurisprudencia dominante contraria. Ofertar monitoramento.</t>
  </si>
  <si>
    <t xml:space="preserve">T17</t>
  </si>
  <si>
    <t xml:space="preserve">Criminal em andamento</t>
  </si>
  <si>
    <t xml:space="preserve">Interesse publico, sem transito</t>
  </si>
  <si>
    <t xml:space="preserve">Recusar remocao. Ofertar apenas monitoramento.</t>
  </si>
  <si>
    <t xml:space="preserve">T18</t>
  </si>
  <si>
    <t xml:space="preserve">Empresa como reclamada em acoes trabalhistas</t>
  </si>
  <si>
    <t xml:space="preserve">Sem protecao aplicavel</t>
  </si>
  <si>
    <t xml:space="preserve">Encaminhar para gestao de reputacao, nao remocao.</t>
  </si>
  <si>
    <t xml:space="preserve">T19</t>
  </si>
  <si>
    <t xml:space="preserve">Execucao fiscal ou divida ativa</t>
  </si>
  <si>
    <t xml:space="preserve">Publicidade legalmente obrigatoria</t>
  </si>
  <si>
    <t xml:space="preserve">Caminho real e regularizar na origem.</t>
  </si>
  <si>
    <t xml:space="preserve">T20</t>
  </si>
  <si>
    <t xml:space="preserve">Falencia e recuperacao judicial</t>
  </si>
  <si>
    <t xml:space="preserve">Publicidade e funcao do instituto</t>
  </si>
  <si>
    <t xml:space="preserve">Praticamente irremovivel enquanto vigente.</t>
  </si>
  <si>
    <t xml:space="preserve">T21</t>
  </si>
  <si>
    <t xml:space="preserve">Mencoes em redes sociais e foruns</t>
  </si>
  <si>
    <t xml:space="preserve">Fora do escopo LGPD-processual</t>
  </si>
  <si>
    <t xml:space="preserve">30-90 dias</t>
  </si>
  <si>
    <t xml:space="preserve">Notificacao extrajudicial, caso a caso.</t>
  </si>
  <si>
    <t xml:space="preserve">T22</t>
  </si>
  <si>
    <t xml:space="preserve">Materia jornalistica verdadeira e licitamente publicada</t>
  </si>
  <si>
    <t xml:space="preserve">STF Tema 786 - RE 1.010.606</t>
  </si>
  <si>
    <t xml:space="preserve">RECUSAR</t>
  </si>
  <si>
    <t xml:space="preserve">-</t>
  </si>
  <si>
    <t xml:space="preserve">Nao existe direito ao esquecimento. Impossivel de entregar.</t>
  </si>
  <si>
    <t xml:space="preserve">T23</t>
  </si>
  <si>
    <t xml:space="preserve">Condenacao criminal transitada, sem reabilitacao</t>
  </si>
  <si>
    <t xml:space="preserve">Interesse publico subsistente</t>
  </si>
  <si>
    <t xml:space="preserve">Reavaliar apenas apos reabilitacao (CP art. 93).</t>
  </si>
  <si>
    <t xml:space="preserve">T24</t>
  </si>
  <si>
    <t xml:space="preserve">Improbidade administrativa de agente publico</t>
  </si>
  <si>
    <t xml:space="preserve">Interesse publico qualificado</t>
  </si>
  <si>
    <t xml:space="preserve">Recusa firme.</t>
  </si>
  <si>
    <t xml:space="preserve">T25</t>
  </si>
  <si>
    <t xml:space="preserve">Ato de agente publico no exercicio da funcao</t>
  </si>
  <si>
    <t xml:space="preserve">CF art. 37 - principio da publicidade</t>
  </si>
  <si>
    <t xml:space="preserve">T26</t>
  </si>
  <si>
    <t xml:space="preserve">Fato sobre candidato ligado a aptidao para o cargo</t>
  </si>
  <si>
    <t xml:space="preserve">Interesse publico eleitoral</t>
  </si>
  <si>
    <t xml:space="preserve">Ano eleitoral aumenta a procura. Manter a regra.</t>
  </si>
  <si>
    <t xml:space="preserve">T27</t>
  </si>
  <si>
    <t xml:space="preserve">Crime contra crianca, violencia domestica ou sexual</t>
  </si>
  <si>
    <t xml:space="preserve">Recusa etica inegociavel</t>
  </si>
  <si>
    <t xml:space="preserve">Sem excecao, qualquer que seja o valor oferecido.</t>
  </si>
  <si>
    <t xml:space="preserve">T28</t>
  </si>
  <si>
    <t xml:space="preserve">Pedido de terceiro sobre dados alheios</t>
  </si>
  <si>
    <t xml:space="preserve">Ilegal e tecnicamente inviavel</t>
  </si>
  <si>
    <t xml:space="preserve">Verificacao de identidade das plataformas bloqueia.</t>
  </si>
  <si>
    <t xml:space="preserve">Item ID</t>
  </si>
  <si>
    <t xml:space="preserve">Caso ID</t>
  </si>
  <si>
    <t xml:space="preserve">Cliente</t>
  </si>
  <si>
    <t xml:space="preserve">URL do item</t>
  </si>
  <si>
    <t xml:space="preserve">Data de entrada</t>
  </si>
  <si>
    <t xml:space="preserve">Prazo limite</t>
  </si>
  <si>
    <t xml:space="preserve">Status</t>
  </si>
  <si>
    <t xml:space="preserve">Data protocolo</t>
  </si>
  <si>
    <t xml:space="preserve">Data verificacao</t>
  </si>
  <si>
    <t xml:space="preserve">Preco de exito</t>
  </si>
  <si>
    <t xml:space="preserve">Faturavel</t>
  </si>
  <si>
    <t xml:space="preserve">A faturar</t>
  </si>
  <si>
    <t xml:space="preserve">IT001</t>
  </si>
  <si>
    <t xml:space="preserve">C001</t>
  </si>
  <si>
    <t xml:space="preserve">Exemplo - Joao Silva</t>
  </si>
  <si>
    <t xml:space="preserve">https://www.escavador.com/processos/exemplo-1</t>
  </si>
  <si>
    <t xml:space="preserve">2026-08-05</t>
  </si>
  <si>
    <t xml:space="preserve">PROTOCOLADO</t>
  </si>
  <si>
    <t xml:space="preserve">2026-08-06</t>
  </si>
  <si>
    <t xml:space="preserve">IT002</t>
  </si>
  <si>
    <t xml:space="preserve">https://www.jusbrasil.com.br/processos/exemplo-2</t>
  </si>
  <si>
    <t xml:space="preserve">VERIFICADO</t>
  </si>
  <si>
    <t xml:space="preserve">2026-08-14</t>
  </si>
  <si>
    <t xml:space="preserve">IT003</t>
  </si>
  <si>
    <t xml:space="preserve">https://noticias.exemplo.com.br/materia-exemplo</t>
  </si>
  <si>
    <t xml:space="preserve">RECUSADO</t>
  </si>
  <si>
    <t xml:space="preserve">Tipo</t>
  </si>
  <si>
    <t xml:space="preserve">Data entrada</t>
  </si>
  <si>
    <t xml:space="preserve">Itens</t>
  </si>
  <si>
    <t xml:space="preserve">Diagnostico</t>
  </si>
  <si>
    <t xml:space="preserve">Execucao</t>
  </si>
  <si>
    <t xml:space="preserve">Exito realizado</t>
  </si>
  <si>
    <t xml:space="preserve">Monitor./mes</t>
  </si>
  <si>
    <t xml:space="preserve">Receita do caso</t>
  </si>
  <si>
    <t xml:space="preserve">Exito realizado %</t>
  </si>
  <si>
    <t xml:space="preserve">Exito esperado %</t>
  </si>
  <si>
    <t xml:space="preserve">PF</t>
  </si>
  <si>
    <t xml:space="preserve">PAINEL DE INDICADORES</t>
  </si>
  <si>
    <t xml:space="preserve">Somente leitura. Todos os valores derivam das abas Triagem e Casos.</t>
  </si>
  <si>
    <t xml:space="preserve">OPERACIONAL</t>
  </si>
  <si>
    <t xml:space="preserve">Itens cadastrados</t>
  </si>
  <si>
    <t xml:space="preserve">Uma linha por URL.</t>
  </si>
  <si>
    <t xml:space="preserve">Itens faturaveis (faixas A, B, C)</t>
  </si>
  <si>
    <t xml:space="preserve">Faixa D nunca entra.</t>
  </si>
  <si>
    <t xml:space="preserve">Itens recusados (faixa D)</t>
  </si>
  <si>
    <t xml:space="preserve">Volume alto aqui indica falha na qualificacao (Fase 0).</t>
  </si>
  <si>
    <t xml:space="preserve">Itens verificados</t>
  </si>
  <si>
    <t xml:space="preserve">Unico status que autoriza faturamento de exito.</t>
  </si>
  <si>
    <t xml:space="preserve">Itens indeferidos</t>
  </si>
  <si>
    <t xml:space="preserve">Decidir: recurso, escalonamento juridico ou encerramento.</t>
  </si>
  <si>
    <t xml:space="preserve">Itens em aberto</t>
  </si>
  <si>
    <t xml:space="preserve">Carga de trabalho atual.</t>
  </si>
  <si>
    <t xml:space="preserve">Itens fora do prazo</t>
  </si>
  <si>
    <t xml:space="preserve">Violacao de SLA. Meta: zero.</t>
  </si>
  <si>
    <t xml:space="preserve">CALIBRACAO DA MATRIZ</t>
  </si>
  <si>
    <t xml:space="preserve">Exito real global</t>
  </si>
  <si>
    <t xml:space="preserve">Comparar com a linha abaixo.</t>
  </si>
  <si>
    <t xml:space="preserve">Exito esperado global</t>
  </si>
  <si>
    <t xml:space="preserve">Media ponderada das faixas atribuidas.</t>
  </si>
  <si>
    <t xml:space="preserve">Desvio (real - esperado)</t>
  </si>
  <si>
    <t xml:space="preserve">Acima de 20% em modulo: reclassificar tipos no Catalogo.</t>
  </si>
  <si>
    <t xml:space="preserve">Exito real - Faixa A</t>
  </si>
  <si>
    <t xml:space="preserve">Esperado: 87,5%</t>
  </si>
  <si>
    <t xml:space="preserve">Exito real - Faixa B</t>
  </si>
  <si>
    <t xml:space="preserve">Esperado: 60,0%</t>
  </si>
  <si>
    <t xml:space="preserve">Exito real - Faixa C</t>
  </si>
  <si>
    <t xml:space="preserve">Esperado: 27,5%</t>
  </si>
  <si>
    <t xml:space="preserve">FINANCEIRO</t>
  </si>
  <si>
    <t xml:space="preserve">Casos ativos</t>
  </si>
  <si>
    <t xml:space="preserve">Receita de diagnostico</t>
  </si>
  <si>
    <t xml:space="preserve">Base previsivel. Cobrada sempre.</t>
  </si>
  <si>
    <t xml:space="preserve">Receita de execucao</t>
  </si>
  <si>
    <t xml:space="preserve">Somente itens de Faixa B.</t>
  </si>
  <si>
    <t xml:space="preserve">Receita de exito realizada</t>
  </si>
  <si>
    <t xml:space="preserve">So conta apos verificacao.</t>
  </si>
  <si>
    <t xml:space="preserve">Receita total realizada</t>
  </si>
  <si>
    <t xml:space="preserve">Evento unico. Nao compoe.</t>
  </si>
  <si>
    <t xml:space="preserve">Monitoramento contratado (MRR)</t>
  </si>
  <si>
    <t xml:space="preserve">A metrica que define a sustentabilidade do negocio.</t>
  </si>
  <si>
    <t xml:space="preserve">Itens medios por caso</t>
  </si>
  <si>
    <t xml:space="preserve">Casos com muitos itens A e B sao os rentaveis.</t>
  </si>
  <si>
    <t xml:space="preserve">Receita media por caso</t>
  </si>
  <si>
    <t xml:space="preserve">Regra de calibracao: a cada 20 casos encerrados, comparar exito real e esperado por faixa. Desvio acima de 20% exige reclassificar o tipo de conteudo na aba Catalogo e atualizar o README do repositorio.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</si>
</sst>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"/>
    <numFmt numFmtId="166" formatCode="0.0%"/>
    <numFmt numFmtId="167" formatCode="&quot;R$ &quot;#,##0;&quot;(R$ &quot;#,##0\);\-"/>
    <numFmt numFmtId="168" formatCode="0;;\-"/>
    <numFmt numFmtId="169" formatCode="dd/mm/yyyy"/>
    <numFmt numFmtId="170" formatCode="0"/>
    <numFmt numFmtId="171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CD5B4"/>
      </patternFill>
    </fill>
    <fill>
      <patternFill patternType="solid">
        <fgColor rgb="FFFCD5B4"/>
        <bgColor rgb="FFFFC7CE"/>
      </patternFill>
    </fill>
    <fill>
      <patternFill patternType="solid">
        <fgColor rgb="FFFFC7CE"/>
        <bgColor rgb="FFFCD5B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sz val="10"/>
      </font>
      <fill>
        <patternFill>
          <bgColor rgb="FFFCD5B4"/>
        </patternFill>
      </fill>
    </dxf>
    <dxf>
      <font>
        <name val="Arial"/>
        <charset val="1"/>
        <family val="0"/>
        <b val="1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2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</row>
    <row r="3" customFormat="false" ht="15" hidden="false" customHeight="false" outlineLevel="0" collapsed="false">
      <c r="B3" s="2"/>
      <c r="C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5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6" t="s">
        <v>7</v>
      </c>
      <c r="C7" s="3" t="s">
        <v>8</v>
      </c>
    </row>
    <row r="8" customFormat="false" ht="15" hidden="false" customHeight="false" outlineLevel="0" collapsed="false">
      <c r="B8" s="2"/>
      <c r="C8" s="3"/>
    </row>
    <row r="9" customFormat="false" ht="15" hidden="false" customHeight="false" outlineLevel="0" collapsed="false">
      <c r="B9" s="4" t="s">
        <v>9</v>
      </c>
    </row>
    <row r="10" customFormat="false" ht="15" hidden="false" customHeight="false" outlineLevel="0" collapsed="false">
      <c r="B10" s="2" t="s">
        <v>10</v>
      </c>
      <c r="C10" s="3" t="s">
        <v>11</v>
      </c>
    </row>
    <row r="11" customFormat="false" ht="15" hidden="false" customHeight="false" outlineLevel="0" collapsed="false">
      <c r="B11" s="2" t="s">
        <v>12</v>
      </c>
      <c r="C11" s="3" t="s">
        <v>13</v>
      </c>
    </row>
    <row r="12" customFormat="false" ht="15" hidden="false" customHeight="false" outlineLevel="0" collapsed="false">
      <c r="B12" s="2" t="s">
        <v>14</v>
      </c>
      <c r="C12" s="3" t="s">
        <v>15</v>
      </c>
    </row>
    <row r="13" customFormat="false" ht="15" hidden="false" customHeight="false" outlineLevel="0" collapsed="false">
      <c r="B13" s="2" t="s">
        <v>16</v>
      </c>
      <c r="C13" s="3" t="s">
        <v>17</v>
      </c>
    </row>
    <row r="14" customFormat="false" ht="15" hidden="false" customHeight="false" outlineLevel="0" collapsed="false">
      <c r="B14" s="2" t="s">
        <v>18</v>
      </c>
      <c r="C14" s="3" t="s">
        <v>19</v>
      </c>
    </row>
    <row r="15" customFormat="false" ht="15" hidden="false" customHeight="false" outlineLevel="0" collapsed="false">
      <c r="B15" s="2"/>
      <c r="C15" s="3"/>
    </row>
    <row r="16" customFormat="false" ht="15" hidden="false" customHeight="false" outlineLevel="0" collapsed="false">
      <c r="B16" s="4" t="s">
        <v>20</v>
      </c>
    </row>
    <row r="17" customFormat="false" ht="15" hidden="false" customHeight="false" outlineLevel="0" collapsed="false">
      <c r="B17" s="2" t="s">
        <v>21</v>
      </c>
      <c r="C17" s="3" t="s">
        <v>22</v>
      </c>
    </row>
    <row r="18" customFormat="false" ht="23.85" hidden="false" customHeight="false" outlineLevel="0" collapsed="false">
      <c r="B18" s="2" t="s">
        <v>23</v>
      </c>
      <c r="C18" s="3" t="s">
        <v>24</v>
      </c>
    </row>
    <row r="19" customFormat="false" ht="15" hidden="false" customHeight="false" outlineLevel="0" collapsed="false">
      <c r="B19" s="2" t="s">
        <v>25</v>
      </c>
      <c r="C19" s="3" t="s">
        <v>26</v>
      </c>
    </row>
    <row r="20" customFormat="false" ht="15" hidden="false" customHeight="false" outlineLevel="0" collapsed="false">
      <c r="B20" s="2" t="s">
        <v>27</v>
      </c>
      <c r="C20" s="3" t="s">
        <v>28</v>
      </c>
    </row>
    <row r="21" customFormat="false" ht="15" hidden="false" customHeight="false" outlineLevel="0" collapsed="false">
      <c r="B21" s="2" t="s">
        <v>29</v>
      </c>
      <c r="C21" s="3" t="s">
        <v>30</v>
      </c>
    </row>
    <row r="22" customFormat="false" ht="23.85" hidden="false" customHeight="false" outlineLevel="0" collapsed="false">
      <c r="B22" s="2" t="s">
        <v>31</v>
      </c>
      <c r="C22" s="3" t="s">
        <v>32</v>
      </c>
    </row>
    <row r="23" customFormat="false" ht="15" hidden="false" customHeight="false" outlineLevel="0" collapsed="false">
      <c r="B23" s="2"/>
      <c r="C23" s="3"/>
    </row>
    <row r="24" customFormat="false" ht="15" hidden="false" customHeight="false" outlineLevel="0" collapsed="false">
      <c r="B24" s="4" t="s">
        <v>33</v>
      </c>
    </row>
    <row r="25" customFormat="false" ht="23.85" hidden="false" customHeight="false" outlineLevel="0" collapsed="false">
      <c r="B25" s="2"/>
      <c r="C25" s="3" t="s">
        <v>34</v>
      </c>
    </row>
    <row r="26" customFormat="false" ht="15" hidden="false" customHeight="false" outlineLevel="0" collapsed="false">
      <c r="B26" s="2"/>
      <c r="C26" s="3"/>
    </row>
    <row r="27" customFormat="false" ht="15" hidden="false" customHeight="false" outlineLevel="0" collapsed="false">
      <c r="B27" s="4" t="s">
        <v>35</v>
      </c>
    </row>
    <row r="28" customFormat="false" ht="23.85" hidden="false" customHeight="false" outlineLevel="0" collapsed="false">
      <c r="B28" s="2"/>
      <c r="C28" s="3" t="s">
        <v>36</v>
      </c>
    </row>
    <row r="29" customFormat="false" ht="15" hidden="false" customHeight="false" outlineLevel="0" collapsed="false">
      <c r="B29" s="2"/>
      <c r="C29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6"/>
    <col collapsed="false" customWidth="true" hidden="false" outlineLevel="0" max="6" min="6" style="0" width="60"/>
  </cols>
  <sheetData>
    <row r="1" customFormat="false" ht="16.15" hidden="false" customHeight="false" outlineLevel="0" collapsed="false">
      <c r="B1" s="1" t="s">
        <v>38</v>
      </c>
    </row>
    <row r="2" customFormat="false" ht="15" hidden="false" customHeight="false" outlineLevel="0" collapsed="false">
      <c r="B2" s="7" t="s">
        <v>39</v>
      </c>
    </row>
    <row r="4" customFormat="false" ht="15" hidden="false" customHeight="false" outlineLevel="0" collapsed="false">
      <c r="B4" s="4" t="s">
        <v>40</v>
      </c>
    </row>
    <row r="5" customFormat="false" ht="15" hidden="false" customHeight="false" outlineLevel="0" collapsed="false">
      <c r="B5" s="8" t="s">
        <v>41</v>
      </c>
      <c r="C5" s="8" t="s">
        <v>42</v>
      </c>
      <c r="F5" s="8" t="s">
        <v>43</v>
      </c>
    </row>
    <row r="6" customFormat="false" ht="15" hidden="false" customHeight="false" outlineLevel="0" collapsed="false">
      <c r="B6" s="9" t="s">
        <v>44</v>
      </c>
      <c r="C6" s="10" t="n">
        <v>197</v>
      </c>
      <c r="F6" s="11" t="s">
        <v>45</v>
      </c>
    </row>
    <row r="7" customFormat="false" ht="15" hidden="false" customHeight="false" outlineLevel="0" collapsed="false">
      <c r="B7" s="9" t="s">
        <v>46</v>
      </c>
      <c r="C7" s="10" t="n">
        <v>300</v>
      </c>
      <c r="F7" s="11" t="s">
        <v>47</v>
      </c>
    </row>
    <row r="8" customFormat="false" ht="15" hidden="false" customHeight="false" outlineLevel="0" collapsed="false">
      <c r="B8" s="9" t="s">
        <v>48</v>
      </c>
      <c r="C8" s="10" t="n">
        <v>79</v>
      </c>
      <c r="F8" s="11" t="s">
        <v>49</v>
      </c>
    </row>
    <row r="9" customFormat="false" ht="15" hidden="false" customHeight="false" outlineLevel="0" collapsed="false">
      <c r="B9" s="9" t="s">
        <v>50</v>
      </c>
      <c r="C9" s="10" t="n">
        <v>590</v>
      </c>
      <c r="F9" s="11" t="s">
        <v>51</v>
      </c>
    </row>
    <row r="11" customFormat="false" ht="15" hidden="false" customHeight="false" outlineLevel="0" collapsed="false">
      <c r="B11" s="4" t="s">
        <v>52</v>
      </c>
    </row>
    <row r="12" customFormat="false" ht="15" hidden="false" customHeight="false" outlineLevel="0" collapsed="false">
      <c r="B12" s="8" t="s">
        <v>53</v>
      </c>
      <c r="C12" s="8" t="s">
        <v>54</v>
      </c>
      <c r="D12" s="8" t="s">
        <v>55</v>
      </c>
      <c r="E12" s="8" t="s">
        <v>56</v>
      </c>
      <c r="F12" s="8" t="s">
        <v>57</v>
      </c>
    </row>
    <row r="13" customFormat="false" ht="15" hidden="false" customHeight="false" outlineLevel="0" collapsed="false">
      <c r="B13" s="12" t="s">
        <v>58</v>
      </c>
      <c r="C13" s="13" t="n">
        <v>0.875</v>
      </c>
      <c r="D13" s="14" t="n">
        <v>650</v>
      </c>
      <c r="E13" s="15" t="n">
        <v>30</v>
      </c>
      <c r="F13" s="16" t="s">
        <v>59</v>
      </c>
    </row>
    <row r="14" customFormat="false" ht="15" hidden="false" customHeight="false" outlineLevel="0" collapsed="false">
      <c r="B14" s="17" t="s">
        <v>60</v>
      </c>
      <c r="C14" s="13" t="n">
        <v>0.6</v>
      </c>
      <c r="D14" s="14" t="n">
        <v>1400</v>
      </c>
      <c r="E14" s="15" t="n">
        <v>60</v>
      </c>
      <c r="F14" s="16" t="s">
        <v>61</v>
      </c>
    </row>
    <row r="15" customFormat="false" ht="15" hidden="false" customHeight="false" outlineLevel="0" collapsed="false">
      <c r="B15" s="18" t="s">
        <v>62</v>
      </c>
      <c r="C15" s="13" t="n">
        <v>0.275</v>
      </c>
      <c r="D15" s="14" t="n">
        <v>1500</v>
      </c>
      <c r="E15" s="15" t="n">
        <v>90</v>
      </c>
      <c r="F15" s="16" t="s">
        <v>63</v>
      </c>
    </row>
    <row r="16" customFormat="false" ht="15" hidden="false" customHeight="false" outlineLevel="0" collapsed="false">
      <c r="B16" s="19" t="s">
        <v>64</v>
      </c>
      <c r="C16" s="13" t="n">
        <v>0.05</v>
      </c>
      <c r="D16" s="14" t="n">
        <v>0</v>
      </c>
      <c r="E16" s="15" t="n">
        <v>0</v>
      </c>
      <c r="F16" s="16" t="s">
        <v>65</v>
      </c>
    </row>
    <row r="19" customFormat="false" ht="15" hidden="false" customHeight="false" outlineLevel="0" collapsed="false">
      <c r="B19" s="2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44"/>
  </cols>
  <sheetData>
    <row r="1" customFormat="false" ht="27.75" hidden="false" customHeight="true" outlineLevel="0" collapsed="false">
      <c r="A1" s="21" t="s">
        <v>67</v>
      </c>
      <c r="B1" s="21" t="s">
        <v>68</v>
      </c>
      <c r="C1" s="21" t="s">
        <v>53</v>
      </c>
      <c r="D1" s="21" t="s">
        <v>69</v>
      </c>
      <c r="E1" s="21" t="s">
        <v>70</v>
      </c>
      <c r="F1" s="21" t="s">
        <v>71</v>
      </c>
      <c r="G1" s="21" t="s">
        <v>72</v>
      </c>
    </row>
    <row r="2" customFormat="false" ht="22.35" hidden="false" customHeight="false" outlineLevel="0" collapsed="false">
      <c r="A2" s="22" t="s">
        <v>73</v>
      </c>
      <c r="B2" s="22" t="s">
        <v>74</v>
      </c>
      <c r="C2" s="23" t="s">
        <v>58</v>
      </c>
      <c r="D2" s="24" t="s">
        <v>75</v>
      </c>
      <c r="E2" s="24" t="s">
        <v>76</v>
      </c>
      <c r="F2" s="24" t="s">
        <v>77</v>
      </c>
      <c r="G2" s="24" t="s">
        <v>78</v>
      </c>
    </row>
    <row r="3" customFormat="false" ht="22.35" hidden="false" customHeight="false" outlineLevel="0" collapsed="false">
      <c r="A3" s="22" t="s">
        <v>79</v>
      </c>
      <c r="B3" s="22" t="s">
        <v>80</v>
      </c>
      <c r="C3" s="23" t="s">
        <v>58</v>
      </c>
      <c r="D3" s="24" t="s">
        <v>81</v>
      </c>
      <c r="E3" s="24" t="s">
        <v>82</v>
      </c>
      <c r="F3" s="24" t="s">
        <v>83</v>
      </c>
      <c r="G3" s="24" t="s">
        <v>84</v>
      </c>
    </row>
    <row r="4" customFormat="false" ht="22.35" hidden="false" customHeight="false" outlineLevel="0" collapsed="false">
      <c r="A4" s="22" t="s">
        <v>85</v>
      </c>
      <c r="B4" s="22" t="s">
        <v>86</v>
      </c>
      <c r="C4" s="23" t="s">
        <v>58</v>
      </c>
      <c r="D4" s="24" t="s">
        <v>87</v>
      </c>
      <c r="E4" s="24" t="s">
        <v>76</v>
      </c>
      <c r="F4" s="24" t="s">
        <v>88</v>
      </c>
      <c r="G4" s="24" t="s">
        <v>89</v>
      </c>
    </row>
    <row r="5" customFormat="false" ht="15" hidden="false" customHeight="false" outlineLevel="0" collapsed="false">
      <c r="A5" s="22" t="s">
        <v>90</v>
      </c>
      <c r="B5" s="22" t="s">
        <v>91</v>
      </c>
      <c r="C5" s="23" t="s">
        <v>58</v>
      </c>
      <c r="D5" s="24" t="s">
        <v>92</v>
      </c>
      <c r="E5" s="24" t="s">
        <v>82</v>
      </c>
      <c r="F5" s="24" t="s">
        <v>88</v>
      </c>
      <c r="G5" s="24" t="s">
        <v>93</v>
      </c>
    </row>
    <row r="6" customFormat="false" ht="22.35" hidden="false" customHeight="false" outlineLevel="0" collapsed="false">
      <c r="A6" s="22" t="s">
        <v>94</v>
      </c>
      <c r="B6" s="22" t="s">
        <v>95</v>
      </c>
      <c r="C6" s="23" t="s">
        <v>58</v>
      </c>
      <c r="D6" s="24" t="s">
        <v>96</v>
      </c>
      <c r="E6" s="24" t="s">
        <v>97</v>
      </c>
      <c r="F6" s="24" t="s">
        <v>98</v>
      </c>
      <c r="G6" s="24" t="s">
        <v>99</v>
      </c>
    </row>
    <row r="7" customFormat="false" ht="22.35" hidden="false" customHeight="false" outlineLevel="0" collapsed="false">
      <c r="A7" s="22" t="s">
        <v>100</v>
      </c>
      <c r="B7" s="22" t="s">
        <v>101</v>
      </c>
      <c r="C7" s="23" t="s">
        <v>58</v>
      </c>
      <c r="D7" s="24" t="s">
        <v>102</v>
      </c>
      <c r="E7" s="24" t="s">
        <v>103</v>
      </c>
      <c r="F7" s="24" t="s">
        <v>104</v>
      </c>
      <c r="G7" s="24" t="s">
        <v>105</v>
      </c>
    </row>
    <row r="8" customFormat="false" ht="15" hidden="false" customHeight="false" outlineLevel="0" collapsed="false">
      <c r="A8" s="22" t="s">
        <v>106</v>
      </c>
      <c r="B8" s="22" t="s">
        <v>107</v>
      </c>
      <c r="C8" s="23" t="s">
        <v>58</v>
      </c>
      <c r="D8" s="24" t="s">
        <v>108</v>
      </c>
      <c r="E8" s="24" t="s">
        <v>82</v>
      </c>
      <c r="F8" s="24" t="s">
        <v>109</v>
      </c>
      <c r="G8" s="24" t="s">
        <v>110</v>
      </c>
    </row>
    <row r="9" customFormat="false" ht="15" hidden="false" customHeight="false" outlineLevel="0" collapsed="false">
      <c r="A9" s="22" t="s">
        <v>111</v>
      </c>
      <c r="B9" s="22" t="s">
        <v>112</v>
      </c>
      <c r="C9" s="23" t="s">
        <v>58</v>
      </c>
      <c r="D9" s="24" t="s">
        <v>113</v>
      </c>
      <c r="E9" s="24" t="s">
        <v>103</v>
      </c>
      <c r="F9" s="24" t="s">
        <v>114</v>
      </c>
      <c r="G9" s="24" t="s">
        <v>115</v>
      </c>
    </row>
    <row r="10" customFormat="false" ht="22.35" hidden="false" customHeight="false" outlineLevel="0" collapsed="false">
      <c r="A10" s="22" t="s">
        <v>116</v>
      </c>
      <c r="B10" s="22" t="s">
        <v>117</v>
      </c>
      <c r="C10" s="25" t="s">
        <v>60</v>
      </c>
      <c r="D10" s="24" t="s">
        <v>118</v>
      </c>
      <c r="E10" s="24" t="s">
        <v>76</v>
      </c>
      <c r="F10" s="24" t="s">
        <v>119</v>
      </c>
      <c r="G10" s="24" t="s">
        <v>120</v>
      </c>
    </row>
    <row r="11" customFormat="false" ht="22.35" hidden="false" customHeight="false" outlineLevel="0" collapsed="false">
      <c r="A11" s="22" t="s">
        <v>121</v>
      </c>
      <c r="B11" s="22" t="s">
        <v>122</v>
      </c>
      <c r="C11" s="25" t="s">
        <v>60</v>
      </c>
      <c r="D11" s="24" t="s">
        <v>123</v>
      </c>
      <c r="E11" s="24" t="s">
        <v>82</v>
      </c>
      <c r="F11" s="24" t="s">
        <v>124</v>
      </c>
      <c r="G11" s="24" t="s">
        <v>125</v>
      </c>
    </row>
    <row r="12" customFormat="false" ht="15" hidden="false" customHeight="false" outlineLevel="0" collapsed="false">
      <c r="A12" s="22" t="s">
        <v>126</v>
      </c>
      <c r="B12" s="22" t="s">
        <v>127</v>
      </c>
      <c r="C12" s="25" t="s">
        <v>60</v>
      </c>
      <c r="D12" s="24" t="s">
        <v>128</v>
      </c>
      <c r="E12" s="24" t="s">
        <v>76</v>
      </c>
      <c r="F12" s="24" t="s">
        <v>119</v>
      </c>
      <c r="G12" s="24" t="s">
        <v>129</v>
      </c>
    </row>
    <row r="13" customFormat="false" ht="22.35" hidden="false" customHeight="false" outlineLevel="0" collapsed="false">
      <c r="A13" s="22" t="s">
        <v>130</v>
      </c>
      <c r="B13" s="22" t="s">
        <v>131</v>
      </c>
      <c r="C13" s="25" t="s">
        <v>60</v>
      </c>
      <c r="D13" s="24" t="s">
        <v>132</v>
      </c>
      <c r="E13" s="24" t="s">
        <v>82</v>
      </c>
      <c r="F13" s="24" t="s">
        <v>133</v>
      </c>
      <c r="G13" s="24" t="s">
        <v>134</v>
      </c>
    </row>
    <row r="14" customFormat="false" ht="15" hidden="false" customHeight="false" outlineLevel="0" collapsed="false">
      <c r="A14" s="22" t="s">
        <v>135</v>
      </c>
      <c r="B14" s="22" t="s">
        <v>136</v>
      </c>
      <c r="C14" s="25" t="s">
        <v>60</v>
      </c>
      <c r="D14" s="24" t="s">
        <v>137</v>
      </c>
      <c r="E14" s="24" t="s">
        <v>138</v>
      </c>
      <c r="F14" s="24" t="s">
        <v>139</v>
      </c>
      <c r="G14" s="24" t="s">
        <v>140</v>
      </c>
    </row>
    <row r="15" customFormat="false" ht="15" hidden="false" customHeight="false" outlineLevel="0" collapsed="false">
      <c r="A15" s="22" t="s">
        <v>141</v>
      </c>
      <c r="B15" s="22" t="s">
        <v>142</v>
      </c>
      <c r="C15" s="25" t="s">
        <v>60</v>
      </c>
      <c r="D15" s="24" t="s">
        <v>143</v>
      </c>
      <c r="E15" s="24" t="s">
        <v>82</v>
      </c>
      <c r="F15" s="24" t="s">
        <v>144</v>
      </c>
      <c r="G15" s="24" t="s">
        <v>145</v>
      </c>
    </row>
    <row r="16" customFormat="false" ht="15" hidden="false" customHeight="false" outlineLevel="0" collapsed="false">
      <c r="A16" s="22" t="s">
        <v>146</v>
      </c>
      <c r="B16" s="22" t="s">
        <v>147</v>
      </c>
      <c r="C16" s="25" t="s">
        <v>60</v>
      </c>
      <c r="D16" s="24" t="s">
        <v>148</v>
      </c>
      <c r="E16" s="24" t="s">
        <v>82</v>
      </c>
      <c r="F16" s="24" t="s">
        <v>133</v>
      </c>
      <c r="G16" s="24" t="s">
        <v>149</v>
      </c>
    </row>
    <row r="17" customFormat="false" ht="22.35" hidden="false" customHeight="false" outlineLevel="0" collapsed="false">
      <c r="A17" s="22" t="s">
        <v>150</v>
      </c>
      <c r="B17" s="22" t="s">
        <v>151</v>
      </c>
      <c r="C17" s="26" t="s">
        <v>62</v>
      </c>
      <c r="D17" s="24" t="s">
        <v>152</v>
      </c>
      <c r="E17" s="24" t="s">
        <v>103</v>
      </c>
      <c r="F17" s="24" t="s">
        <v>153</v>
      </c>
      <c r="G17" s="24" t="s">
        <v>154</v>
      </c>
    </row>
    <row r="18" customFormat="false" ht="15" hidden="false" customHeight="false" outlineLevel="0" collapsed="false">
      <c r="A18" s="22" t="s">
        <v>155</v>
      </c>
      <c r="B18" s="22" t="s">
        <v>156</v>
      </c>
      <c r="C18" s="26" t="s">
        <v>62</v>
      </c>
      <c r="D18" s="24" t="s">
        <v>157</v>
      </c>
      <c r="E18" s="24" t="s">
        <v>103</v>
      </c>
      <c r="F18" s="24" t="s">
        <v>153</v>
      </c>
      <c r="G18" s="24" t="s">
        <v>158</v>
      </c>
    </row>
    <row r="19" customFormat="false" ht="15" hidden="false" customHeight="false" outlineLevel="0" collapsed="false">
      <c r="A19" s="22" t="s">
        <v>159</v>
      </c>
      <c r="B19" s="22" t="s">
        <v>160</v>
      </c>
      <c r="C19" s="26" t="s">
        <v>62</v>
      </c>
      <c r="D19" s="24" t="s">
        <v>161</v>
      </c>
      <c r="E19" s="24" t="s">
        <v>103</v>
      </c>
      <c r="F19" s="24" t="s">
        <v>153</v>
      </c>
      <c r="G19" s="24" t="s">
        <v>162</v>
      </c>
    </row>
    <row r="20" customFormat="false" ht="15" hidden="false" customHeight="false" outlineLevel="0" collapsed="false">
      <c r="A20" s="22" t="s">
        <v>163</v>
      </c>
      <c r="B20" s="22" t="s">
        <v>164</v>
      </c>
      <c r="C20" s="26" t="s">
        <v>62</v>
      </c>
      <c r="D20" s="24" t="s">
        <v>165</v>
      </c>
      <c r="E20" s="24" t="s">
        <v>76</v>
      </c>
      <c r="F20" s="24" t="s">
        <v>153</v>
      </c>
      <c r="G20" s="24" t="s">
        <v>166</v>
      </c>
    </row>
    <row r="21" customFormat="false" ht="15" hidden="false" customHeight="false" outlineLevel="0" collapsed="false">
      <c r="A21" s="22" t="s">
        <v>167</v>
      </c>
      <c r="B21" s="22" t="s">
        <v>168</v>
      </c>
      <c r="C21" s="26" t="s">
        <v>62</v>
      </c>
      <c r="D21" s="24" t="s">
        <v>169</v>
      </c>
      <c r="E21" s="24" t="s">
        <v>103</v>
      </c>
      <c r="F21" s="24" t="s">
        <v>153</v>
      </c>
      <c r="G21" s="24" t="s">
        <v>170</v>
      </c>
    </row>
    <row r="22" customFormat="false" ht="15" hidden="false" customHeight="false" outlineLevel="0" collapsed="false">
      <c r="A22" s="22" t="s">
        <v>171</v>
      </c>
      <c r="B22" s="22" t="s">
        <v>172</v>
      </c>
      <c r="C22" s="26" t="s">
        <v>62</v>
      </c>
      <c r="D22" s="24" t="s">
        <v>173</v>
      </c>
      <c r="E22" s="24" t="s">
        <v>97</v>
      </c>
      <c r="F22" s="24" t="s">
        <v>174</v>
      </c>
      <c r="G22" s="24" t="s">
        <v>175</v>
      </c>
    </row>
    <row r="23" customFormat="false" ht="22.35" hidden="false" customHeight="false" outlineLevel="0" collapsed="false">
      <c r="A23" s="22" t="s">
        <v>176</v>
      </c>
      <c r="B23" s="22" t="s">
        <v>177</v>
      </c>
      <c r="C23" s="27" t="s">
        <v>64</v>
      </c>
      <c r="D23" s="24" t="s">
        <v>178</v>
      </c>
      <c r="E23" s="24" t="s">
        <v>179</v>
      </c>
      <c r="F23" s="24" t="s">
        <v>180</v>
      </c>
      <c r="G23" s="24" t="s">
        <v>181</v>
      </c>
    </row>
    <row r="24" customFormat="false" ht="15" hidden="false" customHeight="false" outlineLevel="0" collapsed="false">
      <c r="A24" s="22" t="s">
        <v>182</v>
      </c>
      <c r="B24" s="22" t="s">
        <v>183</v>
      </c>
      <c r="C24" s="27" t="s">
        <v>64</v>
      </c>
      <c r="D24" s="24" t="s">
        <v>184</v>
      </c>
      <c r="E24" s="24" t="s">
        <v>179</v>
      </c>
      <c r="F24" s="24" t="s">
        <v>180</v>
      </c>
      <c r="G24" s="24" t="s">
        <v>185</v>
      </c>
    </row>
    <row r="25" customFormat="false" ht="15" hidden="false" customHeight="false" outlineLevel="0" collapsed="false">
      <c r="A25" s="22" t="s">
        <v>186</v>
      </c>
      <c r="B25" s="22" t="s">
        <v>187</v>
      </c>
      <c r="C25" s="27" t="s">
        <v>64</v>
      </c>
      <c r="D25" s="24" t="s">
        <v>188</v>
      </c>
      <c r="E25" s="24" t="s">
        <v>179</v>
      </c>
      <c r="F25" s="24" t="s">
        <v>180</v>
      </c>
      <c r="G25" s="24" t="s">
        <v>189</v>
      </c>
    </row>
    <row r="26" customFormat="false" ht="15" hidden="false" customHeight="false" outlineLevel="0" collapsed="false">
      <c r="A26" s="22" t="s">
        <v>190</v>
      </c>
      <c r="B26" s="22" t="s">
        <v>191</v>
      </c>
      <c r="C26" s="27" t="s">
        <v>64</v>
      </c>
      <c r="D26" s="24" t="s">
        <v>192</v>
      </c>
      <c r="E26" s="24" t="s">
        <v>179</v>
      </c>
      <c r="F26" s="24" t="s">
        <v>180</v>
      </c>
      <c r="G26" s="24" t="s">
        <v>189</v>
      </c>
    </row>
    <row r="27" customFormat="false" ht="15" hidden="false" customHeight="false" outlineLevel="0" collapsed="false">
      <c r="A27" s="22" t="s">
        <v>193</v>
      </c>
      <c r="B27" s="22" t="s">
        <v>194</v>
      </c>
      <c r="C27" s="27" t="s">
        <v>64</v>
      </c>
      <c r="D27" s="24" t="s">
        <v>195</v>
      </c>
      <c r="E27" s="24" t="s">
        <v>179</v>
      </c>
      <c r="F27" s="24" t="s">
        <v>180</v>
      </c>
      <c r="G27" s="24" t="s">
        <v>196</v>
      </c>
    </row>
    <row r="28" customFormat="false" ht="15" hidden="false" customHeight="false" outlineLevel="0" collapsed="false">
      <c r="A28" s="22" t="s">
        <v>197</v>
      </c>
      <c r="B28" s="22" t="s">
        <v>198</v>
      </c>
      <c r="C28" s="27" t="s">
        <v>64</v>
      </c>
      <c r="D28" s="24" t="s">
        <v>199</v>
      </c>
      <c r="E28" s="24" t="s">
        <v>179</v>
      </c>
      <c r="F28" s="24" t="s">
        <v>180</v>
      </c>
      <c r="G28" s="24" t="s">
        <v>200</v>
      </c>
    </row>
    <row r="29" customFormat="false" ht="15" hidden="false" customHeight="false" outlineLevel="0" collapsed="false">
      <c r="A29" s="22" t="s">
        <v>201</v>
      </c>
      <c r="B29" s="22" t="s">
        <v>202</v>
      </c>
      <c r="C29" s="27" t="s">
        <v>64</v>
      </c>
      <c r="D29" s="24" t="s">
        <v>203</v>
      </c>
      <c r="E29" s="24" t="s">
        <v>179</v>
      </c>
      <c r="F29" s="24" t="s">
        <v>180</v>
      </c>
      <c r="G29" s="24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12"/>
  </cols>
  <sheetData>
    <row r="1" customFormat="false" ht="31.5" hidden="false" customHeight="true" outlineLevel="0" collapsed="false">
      <c r="A1" s="28" t="s">
        <v>205</v>
      </c>
      <c r="B1" s="28" t="s">
        <v>206</v>
      </c>
      <c r="C1" s="28" t="s">
        <v>207</v>
      </c>
      <c r="D1" s="28" t="s">
        <v>208</v>
      </c>
      <c r="E1" s="28" t="s">
        <v>68</v>
      </c>
      <c r="F1" s="28" t="s">
        <v>53</v>
      </c>
      <c r="G1" s="28" t="s">
        <v>69</v>
      </c>
      <c r="H1" s="28" t="s">
        <v>70</v>
      </c>
      <c r="I1" s="28" t="s">
        <v>54</v>
      </c>
      <c r="J1" s="28" t="s">
        <v>56</v>
      </c>
      <c r="K1" s="28" t="s">
        <v>209</v>
      </c>
      <c r="L1" s="28" t="s">
        <v>210</v>
      </c>
      <c r="M1" s="28" t="s">
        <v>211</v>
      </c>
      <c r="N1" s="28" t="s">
        <v>212</v>
      </c>
      <c r="O1" s="28" t="s">
        <v>213</v>
      </c>
      <c r="P1" s="28" t="s">
        <v>214</v>
      </c>
      <c r="Q1" s="28" t="s">
        <v>215</v>
      </c>
      <c r="R1" s="28" t="s">
        <v>216</v>
      </c>
    </row>
    <row r="2" customFormat="false" ht="15" hidden="false" customHeight="false" outlineLevel="0" collapsed="false">
      <c r="A2" s="29" t="s">
        <v>217</v>
      </c>
      <c r="B2" s="29" t="s">
        <v>218</v>
      </c>
      <c r="C2" s="29" t="s">
        <v>219</v>
      </c>
      <c r="D2" s="29" t="s">
        <v>220</v>
      </c>
      <c r="E2" s="29" t="s">
        <v>122</v>
      </c>
      <c r="F2" s="30" t="str">
        <f aca="false">IFERROR(INDEX(Catalogo!$C$2:$C$29,MATCH($E2,Catalogo!$B$2:$B$29,0)),"")</f>
        <v>B</v>
      </c>
      <c r="G2" s="11" t="str">
        <f aca="false">IFERROR(INDEX(Catalogo!$D$2:$D$29,MATCH($E2,Catalogo!$B$2:$B$29,0)),"")</f>
        <v>Ausencia de acusacao formal; LGPD art. 18</v>
      </c>
      <c r="H2" s="11" t="str">
        <f aca="false">IFERROR(INDEX(Catalogo!$E$2:$E$29,MATCH($E2,Catalogo!$B$2:$B$29,0)),"")</f>
        <v>Plataforma</v>
      </c>
      <c r="I2" s="31" t="n">
        <f aca="false">IFERROR(INDEX(Parametros!$C$13:$C$16,MATCH($F2,Parametros!$B$13:$B$16,0)),"")</f>
        <v>0.6</v>
      </c>
      <c r="J2" s="32" t="n">
        <f aca="false">IFERROR(INDEX(Parametros!$E$13:$E$16,MATCH($F2,Parametros!$B$13:$B$16,0)),"")</f>
        <v>60</v>
      </c>
      <c r="K2" s="33" t="s">
        <v>221</v>
      </c>
      <c r="L2" s="34" t="n">
        <f aca="false">IF(OR($K2="",$J2="",$J2=0),"",$K2+$J2)</f>
        <v>46299</v>
      </c>
      <c r="M2" s="29" t="s">
        <v>222</v>
      </c>
      <c r="N2" s="33" t="s">
        <v>223</v>
      </c>
      <c r="O2" s="33"/>
      <c r="P2" s="35" t="n">
        <f aca="false">IFERROR(INDEX(Parametros!$D$13:$D$16,MATCH($F2,Parametros!$B$13:$B$16,0)),"")</f>
        <v>1400</v>
      </c>
      <c r="Q2" s="30" t="str">
        <f aca="false">IF($F2="","",IF($F2="D","NAO","SIM"))</f>
        <v>SIM</v>
      </c>
      <c r="R2" s="35" t="n">
        <f aca="false">IF(AND($M2="VERIFICADO",$Q2="SIM"),$P2,0)</f>
        <v>0</v>
      </c>
    </row>
    <row r="3" customFormat="false" ht="15" hidden="false" customHeight="false" outlineLevel="0" collapsed="false">
      <c r="A3" s="29" t="s">
        <v>224</v>
      </c>
      <c r="B3" s="29" t="s">
        <v>218</v>
      </c>
      <c r="C3" s="29" t="s">
        <v>219</v>
      </c>
      <c r="D3" s="29" t="s">
        <v>225</v>
      </c>
      <c r="E3" s="29" t="s">
        <v>101</v>
      </c>
      <c r="F3" s="30" t="str">
        <f aca="false">IFERROR(INDEX(Catalogo!$C$2:$C$29,MATCH($E3,Catalogo!$B$2:$B$29,0)),"")</f>
        <v>A</v>
      </c>
      <c r="G3" s="11" t="str">
        <f aca="false">IFERROR(INDEX(Catalogo!$D$2:$D$29,MATCH($E3,Catalogo!$B$2:$B$29,0)),"")</f>
        <v>LGPD art. 18</v>
      </c>
      <c r="H3" s="11" t="str">
        <f aca="false">IFERROR(INDEX(Catalogo!$E$2:$E$29,MATCH($E3,Catalogo!$B$2:$B$29,0)),"")</f>
        <v>Indexador (Google)</v>
      </c>
      <c r="I3" s="31" t="n">
        <f aca="false">IFERROR(INDEX(Parametros!$C$13:$C$16,MATCH($F3,Parametros!$B$13:$B$16,0)),"")</f>
        <v>0.875</v>
      </c>
      <c r="J3" s="32" t="n">
        <f aca="false">IFERROR(INDEX(Parametros!$E$13:$E$16,MATCH($F3,Parametros!$B$13:$B$16,0)),"")</f>
        <v>30</v>
      </c>
      <c r="K3" s="33" t="s">
        <v>221</v>
      </c>
      <c r="L3" s="34" t="n">
        <f aca="false">IF(OR($K3="",$J3="",$J3=0),"",$K3+$J3)</f>
        <v>46269</v>
      </c>
      <c r="M3" s="29" t="s">
        <v>226</v>
      </c>
      <c r="N3" s="33" t="s">
        <v>223</v>
      </c>
      <c r="O3" s="33" t="s">
        <v>227</v>
      </c>
      <c r="P3" s="35" t="n">
        <f aca="false">IFERROR(INDEX(Parametros!$D$13:$D$16,MATCH($F3,Parametros!$B$13:$B$16,0)),"")</f>
        <v>650</v>
      </c>
      <c r="Q3" s="30" t="str">
        <f aca="false">IF($F3="","",IF($F3="D","NAO","SIM"))</f>
        <v>SIM</v>
      </c>
      <c r="R3" s="35" t="n">
        <f aca="false">IF(AND($M3="VERIFICADO",$Q3="SIM"),$P3,0)</f>
        <v>650</v>
      </c>
    </row>
    <row r="4" customFormat="false" ht="15" hidden="false" customHeight="false" outlineLevel="0" collapsed="false">
      <c r="A4" s="29" t="s">
        <v>228</v>
      </c>
      <c r="B4" s="29" t="s">
        <v>218</v>
      </c>
      <c r="C4" s="29" t="s">
        <v>219</v>
      </c>
      <c r="D4" s="29" t="s">
        <v>229</v>
      </c>
      <c r="E4" s="29" t="s">
        <v>177</v>
      </c>
      <c r="F4" s="30" t="str">
        <f aca="false">IFERROR(INDEX(Catalogo!$C$2:$C$29,MATCH($E4,Catalogo!$B$2:$B$29,0)),"")</f>
        <v>D</v>
      </c>
      <c r="G4" s="11" t="str">
        <f aca="false">IFERROR(INDEX(Catalogo!$D$2:$D$29,MATCH($E4,Catalogo!$B$2:$B$29,0)),"")</f>
        <v>STF Tema 786 - RE 1.010.606</v>
      </c>
      <c r="H4" s="11" t="str">
        <f aca="false">IFERROR(INDEX(Catalogo!$E$2:$E$29,MATCH($E4,Catalogo!$B$2:$B$29,0)),"")</f>
        <v>RECUSAR</v>
      </c>
      <c r="I4" s="31" t="n">
        <f aca="false">IFERROR(INDEX(Parametros!$C$13:$C$16,MATCH($F4,Parametros!$B$13:$B$16,0)),"")</f>
        <v>0.05</v>
      </c>
      <c r="J4" s="32" t="n">
        <f aca="false">IFERROR(INDEX(Parametros!$E$13:$E$16,MATCH($F4,Parametros!$B$13:$B$16,0)),"")</f>
        <v>0</v>
      </c>
      <c r="K4" s="33" t="s">
        <v>221</v>
      </c>
      <c r="L4" s="34" t="str">
        <f aca="false">IF(OR($K4="",$J4="",$J4=0),"",$K4+$J4)</f>
        <v/>
      </c>
      <c r="M4" s="29" t="s">
        <v>230</v>
      </c>
      <c r="N4" s="33"/>
      <c r="O4" s="33"/>
      <c r="P4" s="35" t="n">
        <f aca="false">IFERROR(INDEX(Parametros!$D$13:$D$16,MATCH($F4,Parametros!$B$13:$B$16,0)),"")</f>
        <v>0</v>
      </c>
      <c r="Q4" s="30" t="str">
        <f aca="false">IF($F4="","",IF($F4="D","NAO","SIM"))</f>
        <v>NAO</v>
      </c>
      <c r="R4" s="35" t="n">
        <f aca="false">IF(AND($M4="VERIFICADO",$Q4="SIM"),$P4,0)</f>
        <v>0</v>
      </c>
    </row>
    <row r="5" customFormat="false" ht="15" hidden="false" customHeight="false" outlineLevel="0" collapsed="false">
      <c r="A5" s="29"/>
      <c r="B5" s="29"/>
      <c r="C5" s="29"/>
      <c r="D5" s="29"/>
      <c r="E5" s="29"/>
      <c r="F5" s="30" t="str">
        <f aca="false">IFERROR(INDEX(Catalogo!$C$2:$C$29,MATCH($E5,Catalogo!$B$2:$B$29,0)),"")</f>
        <v/>
      </c>
      <c r="G5" s="11" t="str">
        <f aca="false">IFERROR(INDEX(Catalogo!$D$2:$D$29,MATCH($E5,Catalogo!$B$2:$B$29,0)),"")</f>
        <v/>
      </c>
      <c r="H5" s="11" t="str">
        <f aca="false">IFERROR(INDEX(Catalogo!$E$2:$E$29,MATCH($E5,Catalogo!$B$2:$B$29,0)),"")</f>
        <v/>
      </c>
      <c r="I5" s="31" t="str">
        <f aca="false">IFERROR(INDEX(Parametros!$C$13:$C$16,MATCH($F5,Parametros!$B$13:$B$16,0)),"")</f>
        <v/>
      </c>
      <c r="J5" s="36" t="str">
        <f aca="false">IFERROR(INDEX(Parametros!$E$13:$E$16,MATCH($F5,Parametros!$B$13:$B$16,0)),"")</f>
        <v/>
      </c>
      <c r="K5" s="33"/>
      <c r="L5" s="34" t="str">
        <f aca="false">IF(OR($K5="",$J5="",$J5=0),"",$K5+$J5)</f>
        <v/>
      </c>
      <c r="M5" s="29"/>
      <c r="N5" s="33"/>
      <c r="O5" s="33"/>
      <c r="P5" s="35" t="str">
        <f aca="false">IFERROR(INDEX(Parametros!$D$13:$D$16,MATCH($F5,Parametros!$B$13:$B$16,0)),"")</f>
        <v/>
      </c>
      <c r="Q5" s="30" t="str">
        <f aca="false">IF($F5="","",IF($F5="D","NAO","SIM"))</f>
        <v/>
      </c>
      <c r="R5" s="35" t="n">
        <f aca="false">IF(AND($M5="VERIFICADO",$Q5="SIM"),$P5,0)</f>
        <v>0</v>
      </c>
    </row>
    <row r="6" customFormat="false" ht="15" hidden="false" customHeight="false" outlineLevel="0" collapsed="false">
      <c r="A6" s="29"/>
      <c r="B6" s="29"/>
      <c r="C6" s="29"/>
      <c r="D6" s="29"/>
      <c r="E6" s="29"/>
      <c r="F6" s="30" t="str">
        <f aca="false">IFERROR(INDEX(Catalogo!$C$2:$C$29,MATCH($E6,Catalogo!$B$2:$B$29,0)),"")</f>
        <v/>
      </c>
      <c r="G6" s="11" t="str">
        <f aca="false">IFERROR(INDEX(Catalogo!$D$2:$D$29,MATCH($E6,Catalogo!$B$2:$B$29,0)),"")</f>
        <v/>
      </c>
      <c r="H6" s="11" t="str">
        <f aca="false">IFERROR(INDEX(Catalogo!$E$2:$E$29,MATCH($E6,Catalogo!$B$2:$B$29,0)),"")</f>
        <v/>
      </c>
      <c r="I6" s="31" t="str">
        <f aca="false">IFERROR(INDEX(Parametros!$C$13:$C$16,MATCH($F6,Parametros!$B$13:$B$16,0)),"")</f>
        <v/>
      </c>
      <c r="J6" s="36" t="str">
        <f aca="false">IFERROR(INDEX(Parametros!$E$13:$E$16,MATCH($F6,Parametros!$B$13:$B$16,0)),"")</f>
        <v/>
      </c>
      <c r="K6" s="33"/>
      <c r="L6" s="34" t="str">
        <f aca="false">IF(OR($K6="",$J6="",$J6=0),"",$K6+$J6)</f>
        <v/>
      </c>
      <c r="M6" s="29"/>
      <c r="N6" s="33"/>
      <c r="O6" s="33"/>
      <c r="P6" s="35" t="str">
        <f aca="false">IFERROR(INDEX(Parametros!$D$13:$D$16,MATCH($F6,Parametros!$B$13:$B$16,0)),"")</f>
        <v/>
      </c>
      <c r="Q6" s="30" t="str">
        <f aca="false">IF($F6="","",IF($F6="D","NAO","SIM"))</f>
        <v/>
      </c>
      <c r="R6" s="35" t="n">
        <f aca="false">IF(AND($M6="VERIFICADO",$Q6="SIM"),$P6,0)</f>
        <v>0</v>
      </c>
    </row>
    <row r="7" customFormat="false" ht="15" hidden="false" customHeight="false" outlineLevel="0" collapsed="false">
      <c r="A7" s="29"/>
      <c r="B7" s="29"/>
      <c r="C7" s="29"/>
      <c r="D7" s="29"/>
      <c r="E7" s="29"/>
      <c r="F7" s="30" t="str">
        <f aca="false">IFERROR(INDEX(Catalogo!$C$2:$C$29,MATCH($E7,Catalogo!$B$2:$B$29,0)),"")</f>
        <v/>
      </c>
      <c r="G7" s="11" t="str">
        <f aca="false">IFERROR(INDEX(Catalogo!$D$2:$D$29,MATCH($E7,Catalogo!$B$2:$B$29,0)),"")</f>
        <v/>
      </c>
      <c r="H7" s="11" t="str">
        <f aca="false">IFERROR(INDEX(Catalogo!$E$2:$E$29,MATCH($E7,Catalogo!$B$2:$B$29,0)),"")</f>
        <v/>
      </c>
      <c r="I7" s="31" t="str">
        <f aca="false">IFERROR(INDEX(Parametros!$C$13:$C$16,MATCH($F7,Parametros!$B$13:$B$16,0)),"")</f>
        <v/>
      </c>
      <c r="J7" s="36" t="str">
        <f aca="false">IFERROR(INDEX(Parametros!$E$13:$E$16,MATCH($F7,Parametros!$B$13:$B$16,0)),"")</f>
        <v/>
      </c>
      <c r="K7" s="33"/>
      <c r="L7" s="34" t="str">
        <f aca="false">IF(OR($K7="",$J7="",$J7=0),"",$K7+$J7)</f>
        <v/>
      </c>
      <c r="M7" s="29"/>
      <c r="N7" s="33"/>
      <c r="O7" s="33"/>
      <c r="P7" s="35" t="str">
        <f aca="false">IFERROR(INDEX(Parametros!$D$13:$D$16,MATCH($F7,Parametros!$B$13:$B$16,0)),"")</f>
        <v/>
      </c>
      <c r="Q7" s="30" t="str">
        <f aca="false">IF($F7="","",IF($F7="D","NAO","SIM"))</f>
        <v/>
      </c>
      <c r="R7" s="35" t="n">
        <f aca="false">IF(AND($M7="VERIFICADO",$Q7="SIM"),$P7,0)</f>
        <v>0</v>
      </c>
    </row>
    <row r="8" customFormat="false" ht="15" hidden="false" customHeight="false" outlineLevel="0" collapsed="false">
      <c r="A8" s="29"/>
      <c r="B8" s="29"/>
      <c r="C8" s="29"/>
      <c r="D8" s="29"/>
      <c r="E8" s="29"/>
      <c r="F8" s="30" t="str">
        <f aca="false">IFERROR(INDEX(Catalogo!$C$2:$C$29,MATCH($E8,Catalogo!$B$2:$B$29,0)),"")</f>
        <v/>
      </c>
      <c r="G8" s="11" t="str">
        <f aca="false">IFERROR(INDEX(Catalogo!$D$2:$D$29,MATCH($E8,Catalogo!$B$2:$B$29,0)),"")</f>
        <v/>
      </c>
      <c r="H8" s="11" t="str">
        <f aca="false">IFERROR(INDEX(Catalogo!$E$2:$E$29,MATCH($E8,Catalogo!$B$2:$B$29,0)),"")</f>
        <v/>
      </c>
      <c r="I8" s="31" t="str">
        <f aca="false">IFERROR(INDEX(Parametros!$C$13:$C$16,MATCH($F8,Parametros!$B$13:$B$16,0)),"")</f>
        <v/>
      </c>
      <c r="J8" s="36" t="str">
        <f aca="false">IFERROR(INDEX(Parametros!$E$13:$E$16,MATCH($F8,Parametros!$B$13:$B$16,0)),"")</f>
        <v/>
      </c>
      <c r="K8" s="33"/>
      <c r="L8" s="34" t="str">
        <f aca="false">IF(OR($K8="",$J8="",$J8=0),"",$K8+$J8)</f>
        <v/>
      </c>
      <c r="M8" s="29"/>
      <c r="N8" s="33"/>
      <c r="O8" s="33"/>
      <c r="P8" s="35" t="str">
        <f aca="false">IFERROR(INDEX(Parametros!$D$13:$D$16,MATCH($F8,Parametros!$B$13:$B$16,0)),"")</f>
        <v/>
      </c>
      <c r="Q8" s="30" t="str">
        <f aca="false">IF($F8="","",IF($F8="D","NAO","SIM"))</f>
        <v/>
      </c>
      <c r="R8" s="35" t="n">
        <f aca="false">IF(AND($M8="VERIFICADO",$Q8="SIM"),$P8,0)</f>
        <v>0</v>
      </c>
    </row>
    <row r="9" customFormat="false" ht="15" hidden="false" customHeight="false" outlineLevel="0" collapsed="false">
      <c r="A9" s="29"/>
      <c r="B9" s="29"/>
      <c r="C9" s="29"/>
      <c r="D9" s="29"/>
      <c r="E9" s="29"/>
      <c r="F9" s="30" t="str">
        <f aca="false">IFERROR(INDEX(Catalogo!$C$2:$C$29,MATCH($E9,Catalogo!$B$2:$B$29,0)),"")</f>
        <v/>
      </c>
      <c r="G9" s="11" t="str">
        <f aca="false">IFERROR(INDEX(Catalogo!$D$2:$D$29,MATCH($E9,Catalogo!$B$2:$B$29,0)),"")</f>
        <v/>
      </c>
      <c r="H9" s="11" t="str">
        <f aca="false">IFERROR(INDEX(Catalogo!$E$2:$E$29,MATCH($E9,Catalogo!$B$2:$B$29,0)),"")</f>
        <v/>
      </c>
      <c r="I9" s="31" t="str">
        <f aca="false">IFERROR(INDEX(Parametros!$C$13:$C$16,MATCH($F9,Parametros!$B$13:$B$16,0)),"")</f>
        <v/>
      </c>
      <c r="J9" s="36" t="str">
        <f aca="false">IFERROR(INDEX(Parametros!$E$13:$E$16,MATCH($F9,Parametros!$B$13:$B$16,0)),"")</f>
        <v/>
      </c>
      <c r="K9" s="33"/>
      <c r="L9" s="34" t="str">
        <f aca="false">IF(OR($K9="",$J9="",$J9=0),"",$K9+$J9)</f>
        <v/>
      </c>
      <c r="M9" s="29"/>
      <c r="N9" s="33"/>
      <c r="O9" s="33"/>
      <c r="P9" s="35" t="str">
        <f aca="false">IFERROR(INDEX(Parametros!$D$13:$D$16,MATCH($F9,Parametros!$B$13:$B$16,0)),"")</f>
        <v/>
      </c>
      <c r="Q9" s="30" t="str">
        <f aca="false">IF($F9="","",IF($F9="D","NAO","SIM"))</f>
        <v/>
      </c>
      <c r="R9" s="35" t="n">
        <f aca="false">IF(AND($M9="VERIFICADO",$Q9="SIM"),$P9,0)</f>
        <v>0</v>
      </c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30" t="str">
        <f aca="false">IFERROR(INDEX(Catalogo!$C$2:$C$29,MATCH($E10,Catalogo!$B$2:$B$29,0)),"")</f>
        <v/>
      </c>
      <c r="G10" s="11" t="str">
        <f aca="false">IFERROR(INDEX(Catalogo!$D$2:$D$29,MATCH($E10,Catalogo!$B$2:$B$29,0)),"")</f>
        <v/>
      </c>
      <c r="H10" s="11" t="str">
        <f aca="false">IFERROR(INDEX(Catalogo!$E$2:$E$29,MATCH($E10,Catalogo!$B$2:$B$29,0)),"")</f>
        <v/>
      </c>
      <c r="I10" s="31" t="str">
        <f aca="false">IFERROR(INDEX(Parametros!$C$13:$C$16,MATCH($F10,Parametros!$B$13:$B$16,0)),"")</f>
        <v/>
      </c>
      <c r="J10" s="36" t="str">
        <f aca="false">IFERROR(INDEX(Parametros!$E$13:$E$16,MATCH($F10,Parametros!$B$13:$B$16,0)),"")</f>
        <v/>
      </c>
      <c r="K10" s="33"/>
      <c r="L10" s="34" t="str">
        <f aca="false">IF(OR($K10="",$J10="",$J10=0),"",$K10+$J10)</f>
        <v/>
      </c>
      <c r="M10" s="29"/>
      <c r="N10" s="33"/>
      <c r="O10" s="33"/>
      <c r="P10" s="35" t="str">
        <f aca="false">IFERROR(INDEX(Parametros!$D$13:$D$16,MATCH($F10,Parametros!$B$13:$B$16,0)),"")</f>
        <v/>
      </c>
      <c r="Q10" s="30" t="str">
        <f aca="false">IF($F10="","",IF($F10="D","NAO","SIM"))</f>
        <v/>
      </c>
      <c r="R10" s="35" t="n">
        <f aca="false">IF(AND($M10="VERIFICADO",$Q10="SIM"),$P10,0)</f>
        <v>0</v>
      </c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30" t="str">
        <f aca="false">IFERROR(INDEX(Catalogo!$C$2:$C$29,MATCH($E11,Catalogo!$B$2:$B$29,0)),"")</f>
        <v/>
      </c>
      <c r="G11" s="11" t="str">
        <f aca="false">IFERROR(INDEX(Catalogo!$D$2:$D$29,MATCH($E11,Catalogo!$B$2:$B$29,0)),"")</f>
        <v/>
      </c>
      <c r="H11" s="11" t="str">
        <f aca="false">IFERROR(INDEX(Catalogo!$E$2:$E$29,MATCH($E11,Catalogo!$B$2:$B$29,0)),"")</f>
        <v/>
      </c>
      <c r="I11" s="31" t="str">
        <f aca="false">IFERROR(INDEX(Parametros!$C$13:$C$16,MATCH($F11,Parametros!$B$13:$B$16,0)),"")</f>
        <v/>
      </c>
      <c r="J11" s="36" t="str">
        <f aca="false">IFERROR(INDEX(Parametros!$E$13:$E$16,MATCH($F11,Parametros!$B$13:$B$16,0)),"")</f>
        <v/>
      </c>
      <c r="K11" s="33"/>
      <c r="L11" s="34" t="str">
        <f aca="false">IF(OR($K11="",$J11="",$J11=0),"",$K11+$J11)</f>
        <v/>
      </c>
      <c r="M11" s="29"/>
      <c r="N11" s="33"/>
      <c r="O11" s="33"/>
      <c r="P11" s="35" t="str">
        <f aca="false">IFERROR(INDEX(Parametros!$D$13:$D$16,MATCH($F11,Parametros!$B$13:$B$16,0)),"")</f>
        <v/>
      </c>
      <c r="Q11" s="30" t="str">
        <f aca="false">IF($F11="","",IF($F11="D","NAO","SIM"))</f>
        <v/>
      </c>
      <c r="R11" s="35" t="n">
        <f aca="false">IF(AND($M11="VERIFICADO",$Q11="SIM"),$P11,0)</f>
        <v>0</v>
      </c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30" t="str">
        <f aca="false">IFERROR(INDEX(Catalogo!$C$2:$C$29,MATCH($E12,Catalogo!$B$2:$B$29,0)),"")</f>
        <v/>
      </c>
      <c r="G12" s="11" t="str">
        <f aca="false">IFERROR(INDEX(Catalogo!$D$2:$D$29,MATCH($E12,Catalogo!$B$2:$B$29,0)),"")</f>
        <v/>
      </c>
      <c r="H12" s="11" t="str">
        <f aca="false">IFERROR(INDEX(Catalogo!$E$2:$E$29,MATCH($E12,Catalogo!$B$2:$B$29,0)),"")</f>
        <v/>
      </c>
      <c r="I12" s="31" t="str">
        <f aca="false">IFERROR(INDEX(Parametros!$C$13:$C$16,MATCH($F12,Parametros!$B$13:$B$16,0)),"")</f>
        <v/>
      </c>
      <c r="J12" s="36" t="str">
        <f aca="false">IFERROR(INDEX(Parametros!$E$13:$E$16,MATCH($F12,Parametros!$B$13:$B$16,0)),"")</f>
        <v/>
      </c>
      <c r="K12" s="33"/>
      <c r="L12" s="34" t="str">
        <f aca="false">IF(OR($K12="",$J12="",$J12=0),"",$K12+$J12)</f>
        <v/>
      </c>
      <c r="M12" s="29"/>
      <c r="N12" s="33"/>
      <c r="O12" s="33"/>
      <c r="P12" s="35" t="str">
        <f aca="false">IFERROR(INDEX(Parametros!$D$13:$D$16,MATCH($F12,Parametros!$B$13:$B$16,0)),"")</f>
        <v/>
      </c>
      <c r="Q12" s="30" t="str">
        <f aca="false">IF($F12="","",IF($F12="D","NAO","SIM"))</f>
        <v/>
      </c>
      <c r="R12" s="35" t="n">
        <f aca="false">IF(AND($M12="VERIFICADO",$Q12="SIM"),$P12,0)</f>
        <v>0</v>
      </c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30" t="str">
        <f aca="false">IFERROR(INDEX(Catalogo!$C$2:$C$29,MATCH($E13,Catalogo!$B$2:$B$29,0)),"")</f>
        <v/>
      </c>
      <c r="G13" s="11" t="str">
        <f aca="false">IFERROR(INDEX(Catalogo!$D$2:$D$29,MATCH($E13,Catalogo!$B$2:$B$29,0)),"")</f>
        <v/>
      </c>
      <c r="H13" s="11" t="str">
        <f aca="false">IFERROR(INDEX(Catalogo!$E$2:$E$29,MATCH($E13,Catalogo!$B$2:$B$29,0)),"")</f>
        <v/>
      </c>
      <c r="I13" s="31" t="str">
        <f aca="false">IFERROR(INDEX(Parametros!$C$13:$C$16,MATCH($F13,Parametros!$B$13:$B$16,0)),"")</f>
        <v/>
      </c>
      <c r="J13" s="36" t="str">
        <f aca="false">IFERROR(INDEX(Parametros!$E$13:$E$16,MATCH($F13,Parametros!$B$13:$B$16,0)),"")</f>
        <v/>
      </c>
      <c r="K13" s="33"/>
      <c r="L13" s="34" t="str">
        <f aca="false">IF(OR($K13="",$J13="",$J13=0),"",$K13+$J13)</f>
        <v/>
      </c>
      <c r="M13" s="29"/>
      <c r="N13" s="33"/>
      <c r="O13" s="33"/>
      <c r="P13" s="35" t="str">
        <f aca="false">IFERROR(INDEX(Parametros!$D$13:$D$16,MATCH($F13,Parametros!$B$13:$B$16,0)),"")</f>
        <v/>
      </c>
      <c r="Q13" s="30" t="str">
        <f aca="false">IF($F13="","",IF($F13="D","NAO","SIM"))</f>
        <v/>
      </c>
      <c r="R13" s="35" t="n">
        <f aca="false">IF(AND($M13="VERIFICADO",$Q13="SIM"),$P13,0)</f>
        <v>0</v>
      </c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30" t="str">
        <f aca="false">IFERROR(INDEX(Catalogo!$C$2:$C$29,MATCH($E14,Catalogo!$B$2:$B$29,0)),"")</f>
        <v/>
      </c>
      <c r="G14" s="11" t="str">
        <f aca="false">IFERROR(INDEX(Catalogo!$D$2:$D$29,MATCH($E14,Catalogo!$B$2:$B$29,0)),"")</f>
        <v/>
      </c>
      <c r="H14" s="11" t="str">
        <f aca="false">IFERROR(INDEX(Catalogo!$E$2:$E$29,MATCH($E14,Catalogo!$B$2:$B$29,0)),"")</f>
        <v/>
      </c>
      <c r="I14" s="31" t="str">
        <f aca="false">IFERROR(INDEX(Parametros!$C$13:$C$16,MATCH($F14,Parametros!$B$13:$B$16,0)),"")</f>
        <v/>
      </c>
      <c r="J14" s="36" t="str">
        <f aca="false">IFERROR(INDEX(Parametros!$E$13:$E$16,MATCH($F14,Parametros!$B$13:$B$16,0)),"")</f>
        <v/>
      </c>
      <c r="K14" s="33"/>
      <c r="L14" s="34" t="str">
        <f aca="false">IF(OR($K14="",$J14="",$J14=0),"",$K14+$J14)</f>
        <v/>
      </c>
      <c r="M14" s="29"/>
      <c r="N14" s="33"/>
      <c r="O14" s="33"/>
      <c r="P14" s="35" t="str">
        <f aca="false">IFERROR(INDEX(Parametros!$D$13:$D$16,MATCH($F14,Parametros!$B$13:$B$16,0)),"")</f>
        <v/>
      </c>
      <c r="Q14" s="30" t="str">
        <f aca="false">IF($F14="","",IF($F14="D","NAO","SIM"))</f>
        <v/>
      </c>
      <c r="R14" s="35" t="n">
        <f aca="false">IF(AND($M14="VERIFICADO",$Q14="SIM"),$P14,0)</f>
        <v>0</v>
      </c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30" t="str">
        <f aca="false">IFERROR(INDEX(Catalogo!$C$2:$C$29,MATCH($E15,Catalogo!$B$2:$B$29,0)),"")</f>
        <v/>
      </c>
      <c r="G15" s="11" t="str">
        <f aca="false">IFERROR(INDEX(Catalogo!$D$2:$D$29,MATCH($E15,Catalogo!$B$2:$B$29,0)),"")</f>
        <v/>
      </c>
      <c r="H15" s="11" t="str">
        <f aca="false">IFERROR(INDEX(Catalogo!$E$2:$E$29,MATCH($E15,Catalogo!$B$2:$B$29,0)),"")</f>
        <v/>
      </c>
      <c r="I15" s="31" t="str">
        <f aca="false">IFERROR(INDEX(Parametros!$C$13:$C$16,MATCH($F15,Parametros!$B$13:$B$16,0)),"")</f>
        <v/>
      </c>
      <c r="J15" s="36" t="str">
        <f aca="false">IFERROR(INDEX(Parametros!$E$13:$E$16,MATCH($F15,Parametros!$B$13:$B$16,0)),"")</f>
        <v/>
      </c>
      <c r="K15" s="33"/>
      <c r="L15" s="34" t="str">
        <f aca="false">IF(OR($K15="",$J15="",$J15=0),"",$K15+$J15)</f>
        <v/>
      </c>
      <c r="M15" s="29"/>
      <c r="N15" s="33"/>
      <c r="O15" s="33"/>
      <c r="P15" s="35" t="str">
        <f aca="false">IFERROR(INDEX(Parametros!$D$13:$D$16,MATCH($F15,Parametros!$B$13:$B$16,0)),"")</f>
        <v/>
      </c>
      <c r="Q15" s="30" t="str">
        <f aca="false">IF($F15="","",IF($F15="D","NAO","SIM"))</f>
        <v/>
      </c>
      <c r="R15" s="35" t="n">
        <f aca="false">IF(AND($M15="VERIFICADO",$Q15="SIM"),$P15,0)</f>
        <v>0</v>
      </c>
    </row>
    <row r="16" customFormat="false" ht="15" hidden="false" customHeight="false" outlineLevel="0" collapsed="false">
      <c r="A16" s="29"/>
      <c r="B16" s="29"/>
      <c r="C16" s="29"/>
      <c r="D16" s="29"/>
      <c r="E16" s="29"/>
      <c r="F16" s="30" t="str">
        <f aca="false">IFERROR(INDEX(Catalogo!$C$2:$C$29,MATCH($E16,Catalogo!$B$2:$B$29,0)),"")</f>
        <v/>
      </c>
      <c r="G16" s="11" t="str">
        <f aca="false">IFERROR(INDEX(Catalogo!$D$2:$D$29,MATCH($E16,Catalogo!$B$2:$B$29,0)),"")</f>
        <v/>
      </c>
      <c r="H16" s="11" t="str">
        <f aca="false">IFERROR(INDEX(Catalogo!$E$2:$E$29,MATCH($E16,Catalogo!$B$2:$B$29,0)),"")</f>
        <v/>
      </c>
      <c r="I16" s="31" t="str">
        <f aca="false">IFERROR(INDEX(Parametros!$C$13:$C$16,MATCH($F16,Parametros!$B$13:$B$16,0)),"")</f>
        <v/>
      </c>
      <c r="J16" s="36" t="str">
        <f aca="false">IFERROR(INDEX(Parametros!$E$13:$E$16,MATCH($F16,Parametros!$B$13:$B$16,0)),"")</f>
        <v/>
      </c>
      <c r="K16" s="33"/>
      <c r="L16" s="34" t="str">
        <f aca="false">IF(OR($K16="",$J16="",$J16=0),"",$K16+$J16)</f>
        <v/>
      </c>
      <c r="M16" s="29"/>
      <c r="N16" s="33"/>
      <c r="O16" s="33"/>
      <c r="P16" s="35" t="str">
        <f aca="false">IFERROR(INDEX(Parametros!$D$13:$D$16,MATCH($F16,Parametros!$B$13:$B$16,0)),"")</f>
        <v/>
      </c>
      <c r="Q16" s="30" t="str">
        <f aca="false">IF($F16="","",IF($F16="D","NAO","SIM"))</f>
        <v/>
      </c>
      <c r="R16" s="35" t="n">
        <f aca="false">IF(AND($M16="VERIFICADO",$Q16="SIM"),$P16,0)</f>
        <v>0</v>
      </c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30" t="str">
        <f aca="false">IFERROR(INDEX(Catalogo!$C$2:$C$29,MATCH($E17,Catalogo!$B$2:$B$29,0)),"")</f>
        <v/>
      </c>
      <c r="G17" s="11" t="str">
        <f aca="false">IFERROR(INDEX(Catalogo!$D$2:$D$29,MATCH($E17,Catalogo!$B$2:$B$29,0)),"")</f>
        <v/>
      </c>
      <c r="H17" s="11" t="str">
        <f aca="false">IFERROR(INDEX(Catalogo!$E$2:$E$29,MATCH($E17,Catalogo!$B$2:$B$29,0)),"")</f>
        <v/>
      </c>
      <c r="I17" s="31" t="str">
        <f aca="false">IFERROR(INDEX(Parametros!$C$13:$C$16,MATCH($F17,Parametros!$B$13:$B$16,0)),"")</f>
        <v/>
      </c>
      <c r="J17" s="36" t="str">
        <f aca="false">IFERROR(INDEX(Parametros!$E$13:$E$16,MATCH($F17,Parametros!$B$13:$B$16,0)),"")</f>
        <v/>
      </c>
      <c r="K17" s="33"/>
      <c r="L17" s="34" t="str">
        <f aca="false">IF(OR($K17="",$J17="",$J17=0),"",$K17+$J17)</f>
        <v/>
      </c>
      <c r="M17" s="29"/>
      <c r="N17" s="33"/>
      <c r="O17" s="33"/>
      <c r="P17" s="35" t="str">
        <f aca="false">IFERROR(INDEX(Parametros!$D$13:$D$16,MATCH($F17,Parametros!$B$13:$B$16,0)),"")</f>
        <v/>
      </c>
      <c r="Q17" s="30" t="str">
        <f aca="false">IF($F17="","",IF($F17="D","NAO","SIM"))</f>
        <v/>
      </c>
      <c r="R17" s="35" t="n">
        <f aca="false">IF(AND($M17="VERIFICADO",$Q17="SIM"),$P17,0)</f>
        <v>0</v>
      </c>
    </row>
    <row r="18" customFormat="false" ht="15" hidden="false" customHeight="false" outlineLevel="0" collapsed="false">
      <c r="A18" s="29"/>
      <c r="B18" s="29"/>
      <c r="C18" s="29"/>
      <c r="D18" s="29"/>
      <c r="E18" s="29"/>
      <c r="F18" s="30" t="str">
        <f aca="false">IFERROR(INDEX(Catalogo!$C$2:$C$29,MATCH($E18,Catalogo!$B$2:$B$29,0)),"")</f>
        <v/>
      </c>
      <c r="G18" s="11" t="str">
        <f aca="false">IFERROR(INDEX(Catalogo!$D$2:$D$29,MATCH($E18,Catalogo!$B$2:$B$29,0)),"")</f>
        <v/>
      </c>
      <c r="H18" s="11" t="str">
        <f aca="false">IFERROR(INDEX(Catalogo!$E$2:$E$29,MATCH($E18,Catalogo!$B$2:$B$29,0)),"")</f>
        <v/>
      </c>
      <c r="I18" s="31" t="str">
        <f aca="false">IFERROR(INDEX(Parametros!$C$13:$C$16,MATCH($F18,Parametros!$B$13:$B$16,0)),"")</f>
        <v/>
      </c>
      <c r="J18" s="36" t="str">
        <f aca="false">IFERROR(INDEX(Parametros!$E$13:$E$16,MATCH($F18,Parametros!$B$13:$B$16,0)),"")</f>
        <v/>
      </c>
      <c r="K18" s="33"/>
      <c r="L18" s="34" t="str">
        <f aca="false">IF(OR($K18="",$J18="",$J18=0),"",$K18+$J18)</f>
        <v/>
      </c>
      <c r="M18" s="29"/>
      <c r="N18" s="33"/>
      <c r="O18" s="33"/>
      <c r="P18" s="35" t="str">
        <f aca="false">IFERROR(INDEX(Parametros!$D$13:$D$16,MATCH($F18,Parametros!$B$13:$B$16,0)),"")</f>
        <v/>
      </c>
      <c r="Q18" s="30" t="str">
        <f aca="false">IF($F18="","",IF($F18="D","NAO","SIM"))</f>
        <v/>
      </c>
      <c r="R18" s="35" t="n">
        <f aca="false">IF(AND($M18="VERIFICADO",$Q18="SIM"),$P18,0)</f>
        <v>0</v>
      </c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30" t="str">
        <f aca="false">IFERROR(INDEX(Catalogo!$C$2:$C$29,MATCH($E19,Catalogo!$B$2:$B$29,0)),"")</f>
        <v/>
      </c>
      <c r="G19" s="11" t="str">
        <f aca="false">IFERROR(INDEX(Catalogo!$D$2:$D$29,MATCH($E19,Catalogo!$B$2:$B$29,0)),"")</f>
        <v/>
      </c>
      <c r="H19" s="11" t="str">
        <f aca="false">IFERROR(INDEX(Catalogo!$E$2:$E$29,MATCH($E19,Catalogo!$B$2:$B$29,0)),"")</f>
        <v/>
      </c>
      <c r="I19" s="31" t="str">
        <f aca="false">IFERROR(INDEX(Parametros!$C$13:$C$16,MATCH($F19,Parametros!$B$13:$B$16,0)),"")</f>
        <v/>
      </c>
      <c r="J19" s="36" t="str">
        <f aca="false">IFERROR(INDEX(Parametros!$E$13:$E$16,MATCH($F19,Parametros!$B$13:$B$16,0)),"")</f>
        <v/>
      </c>
      <c r="K19" s="33"/>
      <c r="L19" s="34" t="str">
        <f aca="false">IF(OR($K19="",$J19="",$J19=0),"",$K19+$J19)</f>
        <v/>
      </c>
      <c r="M19" s="29"/>
      <c r="N19" s="33"/>
      <c r="O19" s="33"/>
      <c r="P19" s="35" t="str">
        <f aca="false">IFERROR(INDEX(Parametros!$D$13:$D$16,MATCH($F19,Parametros!$B$13:$B$16,0)),"")</f>
        <v/>
      </c>
      <c r="Q19" s="30" t="str">
        <f aca="false">IF($F19="","",IF($F19="D","NAO","SIM"))</f>
        <v/>
      </c>
      <c r="R19" s="35" t="n">
        <f aca="false">IF(AND($M19="VERIFICADO",$Q19="SIM"),$P19,0)</f>
        <v>0</v>
      </c>
    </row>
    <row r="20" customFormat="false" ht="15" hidden="false" customHeight="false" outlineLevel="0" collapsed="false">
      <c r="A20" s="29"/>
      <c r="B20" s="29"/>
      <c r="C20" s="29"/>
      <c r="D20" s="29"/>
      <c r="E20" s="29"/>
      <c r="F20" s="30" t="str">
        <f aca="false">IFERROR(INDEX(Catalogo!$C$2:$C$29,MATCH($E20,Catalogo!$B$2:$B$29,0)),"")</f>
        <v/>
      </c>
      <c r="G20" s="11" t="str">
        <f aca="false">IFERROR(INDEX(Catalogo!$D$2:$D$29,MATCH($E20,Catalogo!$B$2:$B$29,0)),"")</f>
        <v/>
      </c>
      <c r="H20" s="11" t="str">
        <f aca="false">IFERROR(INDEX(Catalogo!$E$2:$E$29,MATCH($E20,Catalogo!$B$2:$B$29,0)),"")</f>
        <v/>
      </c>
      <c r="I20" s="31" t="str">
        <f aca="false">IFERROR(INDEX(Parametros!$C$13:$C$16,MATCH($F20,Parametros!$B$13:$B$16,0)),"")</f>
        <v/>
      </c>
      <c r="J20" s="36" t="str">
        <f aca="false">IFERROR(INDEX(Parametros!$E$13:$E$16,MATCH($F20,Parametros!$B$13:$B$16,0)),"")</f>
        <v/>
      </c>
      <c r="K20" s="33"/>
      <c r="L20" s="34" t="str">
        <f aca="false">IF(OR($K20="",$J20="",$J20=0),"",$K20+$J20)</f>
        <v/>
      </c>
      <c r="M20" s="29"/>
      <c r="N20" s="33"/>
      <c r="O20" s="33"/>
      <c r="P20" s="35" t="str">
        <f aca="false">IFERROR(INDEX(Parametros!$D$13:$D$16,MATCH($F20,Parametros!$B$13:$B$16,0)),"")</f>
        <v/>
      </c>
      <c r="Q20" s="30" t="str">
        <f aca="false">IF($F20="","",IF($F20="D","NAO","SIM"))</f>
        <v/>
      </c>
      <c r="R20" s="35" t="n">
        <f aca="false">IF(AND($M20="VERIFICADO",$Q20="SIM"),$P20,0)</f>
        <v>0</v>
      </c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30" t="str">
        <f aca="false">IFERROR(INDEX(Catalogo!$C$2:$C$29,MATCH($E21,Catalogo!$B$2:$B$29,0)),"")</f>
        <v/>
      </c>
      <c r="G21" s="11" t="str">
        <f aca="false">IFERROR(INDEX(Catalogo!$D$2:$D$29,MATCH($E21,Catalogo!$B$2:$B$29,0)),"")</f>
        <v/>
      </c>
      <c r="H21" s="11" t="str">
        <f aca="false">IFERROR(INDEX(Catalogo!$E$2:$E$29,MATCH($E21,Catalogo!$B$2:$B$29,0)),"")</f>
        <v/>
      </c>
      <c r="I21" s="31" t="str">
        <f aca="false">IFERROR(INDEX(Parametros!$C$13:$C$16,MATCH($F21,Parametros!$B$13:$B$16,0)),"")</f>
        <v/>
      </c>
      <c r="J21" s="36" t="str">
        <f aca="false">IFERROR(INDEX(Parametros!$E$13:$E$16,MATCH($F21,Parametros!$B$13:$B$16,0)),"")</f>
        <v/>
      </c>
      <c r="K21" s="33"/>
      <c r="L21" s="34" t="str">
        <f aca="false">IF(OR($K21="",$J21="",$J21=0),"",$K21+$J21)</f>
        <v/>
      </c>
      <c r="M21" s="29"/>
      <c r="N21" s="33"/>
      <c r="O21" s="33"/>
      <c r="P21" s="35" t="str">
        <f aca="false">IFERROR(INDEX(Parametros!$D$13:$D$16,MATCH($F21,Parametros!$B$13:$B$16,0)),"")</f>
        <v/>
      </c>
      <c r="Q21" s="30" t="str">
        <f aca="false">IF($F21="","",IF($F21="D","NAO","SIM"))</f>
        <v/>
      </c>
      <c r="R21" s="35" t="n">
        <f aca="false">IF(AND($M21="VERIFICADO",$Q21="SIM"),$P21,0)</f>
        <v>0</v>
      </c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30" t="str">
        <f aca="false">IFERROR(INDEX(Catalogo!$C$2:$C$29,MATCH($E22,Catalogo!$B$2:$B$29,0)),"")</f>
        <v/>
      </c>
      <c r="G22" s="11" t="str">
        <f aca="false">IFERROR(INDEX(Catalogo!$D$2:$D$29,MATCH($E22,Catalogo!$B$2:$B$29,0)),"")</f>
        <v/>
      </c>
      <c r="H22" s="11" t="str">
        <f aca="false">IFERROR(INDEX(Catalogo!$E$2:$E$29,MATCH($E22,Catalogo!$B$2:$B$29,0)),"")</f>
        <v/>
      </c>
      <c r="I22" s="31" t="str">
        <f aca="false">IFERROR(INDEX(Parametros!$C$13:$C$16,MATCH($F22,Parametros!$B$13:$B$16,0)),"")</f>
        <v/>
      </c>
      <c r="J22" s="36" t="str">
        <f aca="false">IFERROR(INDEX(Parametros!$E$13:$E$16,MATCH($F22,Parametros!$B$13:$B$16,0)),"")</f>
        <v/>
      </c>
      <c r="K22" s="33"/>
      <c r="L22" s="34" t="str">
        <f aca="false">IF(OR($K22="",$J22="",$J22=0),"",$K22+$J22)</f>
        <v/>
      </c>
      <c r="M22" s="29"/>
      <c r="N22" s="33"/>
      <c r="O22" s="33"/>
      <c r="P22" s="35" t="str">
        <f aca="false">IFERROR(INDEX(Parametros!$D$13:$D$16,MATCH($F22,Parametros!$B$13:$B$16,0)),"")</f>
        <v/>
      </c>
      <c r="Q22" s="30" t="str">
        <f aca="false">IF($F22="","",IF($F22="D","NAO","SIM"))</f>
        <v/>
      </c>
      <c r="R22" s="35" t="n">
        <f aca="false">IF(AND($M22="VERIFICADO",$Q22="SIM"),$P22,0)</f>
        <v>0</v>
      </c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30" t="str">
        <f aca="false">IFERROR(INDEX(Catalogo!$C$2:$C$29,MATCH($E23,Catalogo!$B$2:$B$29,0)),"")</f>
        <v/>
      </c>
      <c r="G23" s="11" t="str">
        <f aca="false">IFERROR(INDEX(Catalogo!$D$2:$D$29,MATCH($E23,Catalogo!$B$2:$B$29,0)),"")</f>
        <v/>
      </c>
      <c r="H23" s="11" t="str">
        <f aca="false">IFERROR(INDEX(Catalogo!$E$2:$E$29,MATCH($E23,Catalogo!$B$2:$B$29,0)),"")</f>
        <v/>
      </c>
      <c r="I23" s="31" t="str">
        <f aca="false">IFERROR(INDEX(Parametros!$C$13:$C$16,MATCH($F23,Parametros!$B$13:$B$16,0)),"")</f>
        <v/>
      </c>
      <c r="J23" s="36" t="str">
        <f aca="false">IFERROR(INDEX(Parametros!$E$13:$E$16,MATCH($F23,Parametros!$B$13:$B$16,0)),"")</f>
        <v/>
      </c>
      <c r="K23" s="33"/>
      <c r="L23" s="34" t="str">
        <f aca="false">IF(OR($K23="",$J23="",$J23=0),"",$K23+$J23)</f>
        <v/>
      </c>
      <c r="M23" s="29"/>
      <c r="N23" s="33"/>
      <c r="O23" s="33"/>
      <c r="P23" s="35" t="str">
        <f aca="false">IFERROR(INDEX(Parametros!$D$13:$D$16,MATCH($F23,Parametros!$B$13:$B$16,0)),"")</f>
        <v/>
      </c>
      <c r="Q23" s="30" t="str">
        <f aca="false">IF($F23="","",IF($F23="D","NAO","SIM"))</f>
        <v/>
      </c>
      <c r="R23" s="35" t="n">
        <f aca="false">IF(AND($M23="VERIFICADO",$Q23="SIM"),$P23,0)</f>
        <v>0</v>
      </c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30" t="str">
        <f aca="false">IFERROR(INDEX(Catalogo!$C$2:$C$29,MATCH($E24,Catalogo!$B$2:$B$29,0)),"")</f>
        <v/>
      </c>
      <c r="G24" s="11" t="str">
        <f aca="false">IFERROR(INDEX(Catalogo!$D$2:$D$29,MATCH($E24,Catalogo!$B$2:$B$29,0)),"")</f>
        <v/>
      </c>
      <c r="H24" s="11" t="str">
        <f aca="false">IFERROR(INDEX(Catalogo!$E$2:$E$29,MATCH($E24,Catalogo!$B$2:$B$29,0)),"")</f>
        <v/>
      </c>
      <c r="I24" s="31" t="str">
        <f aca="false">IFERROR(INDEX(Parametros!$C$13:$C$16,MATCH($F24,Parametros!$B$13:$B$16,0)),"")</f>
        <v/>
      </c>
      <c r="J24" s="36" t="str">
        <f aca="false">IFERROR(INDEX(Parametros!$E$13:$E$16,MATCH($F24,Parametros!$B$13:$B$16,0)),"")</f>
        <v/>
      </c>
      <c r="K24" s="33"/>
      <c r="L24" s="34" t="str">
        <f aca="false">IF(OR($K24="",$J24="",$J24=0),"",$K24+$J24)</f>
        <v/>
      </c>
      <c r="M24" s="29"/>
      <c r="N24" s="33"/>
      <c r="O24" s="33"/>
      <c r="P24" s="35" t="str">
        <f aca="false">IFERROR(INDEX(Parametros!$D$13:$D$16,MATCH($F24,Parametros!$B$13:$B$16,0)),"")</f>
        <v/>
      </c>
      <c r="Q24" s="30" t="str">
        <f aca="false">IF($F24="","",IF($F24="D","NAO","SIM"))</f>
        <v/>
      </c>
      <c r="R24" s="35" t="n">
        <f aca="false">IF(AND($M24="VERIFICADO",$Q24="SIM"),$P24,0)</f>
        <v>0</v>
      </c>
    </row>
    <row r="25" customFormat="false" ht="15" hidden="false" customHeight="false" outlineLevel="0" collapsed="false">
      <c r="A25" s="29"/>
      <c r="B25" s="29"/>
      <c r="C25" s="29"/>
      <c r="D25" s="29"/>
      <c r="E25" s="29"/>
      <c r="F25" s="30" t="str">
        <f aca="false">IFERROR(INDEX(Catalogo!$C$2:$C$29,MATCH($E25,Catalogo!$B$2:$B$29,0)),"")</f>
        <v/>
      </c>
      <c r="G25" s="11" t="str">
        <f aca="false">IFERROR(INDEX(Catalogo!$D$2:$D$29,MATCH($E25,Catalogo!$B$2:$B$29,0)),"")</f>
        <v/>
      </c>
      <c r="H25" s="11" t="str">
        <f aca="false">IFERROR(INDEX(Catalogo!$E$2:$E$29,MATCH($E25,Catalogo!$B$2:$B$29,0)),"")</f>
        <v/>
      </c>
      <c r="I25" s="31" t="str">
        <f aca="false">IFERROR(INDEX(Parametros!$C$13:$C$16,MATCH($F25,Parametros!$B$13:$B$16,0)),"")</f>
        <v/>
      </c>
      <c r="J25" s="36" t="str">
        <f aca="false">IFERROR(INDEX(Parametros!$E$13:$E$16,MATCH($F25,Parametros!$B$13:$B$16,0)),"")</f>
        <v/>
      </c>
      <c r="K25" s="33"/>
      <c r="L25" s="34" t="str">
        <f aca="false">IF(OR($K25="",$J25="",$J25=0),"",$K25+$J25)</f>
        <v/>
      </c>
      <c r="M25" s="29"/>
      <c r="N25" s="33"/>
      <c r="O25" s="33"/>
      <c r="P25" s="35" t="str">
        <f aca="false">IFERROR(INDEX(Parametros!$D$13:$D$16,MATCH($F25,Parametros!$B$13:$B$16,0)),"")</f>
        <v/>
      </c>
      <c r="Q25" s="30" t="str">
        <f aca="false">IF($F25="","",IF($F25="D","NAO","SIM"))</f>
        <v/>
      </c>
      <c r="R25" s="35" t="n">
        <f aca="false">IF(AND($M25="VERIFICADO",$Q25="SIM"),$P25,0)</f>
        <v>0</v>
      </c>
    </row>
    <row r="26" customFormat="false" ht="15" hidden="false" customHeight="false" outlineLevel="0" collapsed="false">
      <c r="A26" s="29"/>
      <c r="B26" s="29"/>
      <c r="C26" s="29"/>
      <c r="D26" s="29"/>
      <c r="E26" s="29"/>
      <c r="F26" s="30" t="str">
        <f aca="false">IFERROR(INDEX(Catalogo!$C$2:$C$29,MATCH($E26,Catalogo!$B$2:$B$29,0)),"")</f>
        <v/>
      </c>
      <c r="G26" s="11" t="str">
        <f aca="false">IFERROR(INDEX(Catalogo!$D$2:$D$29,MATCH($E26,Catalogo!$B$2:$B$29,0)),"")</f>
        <v/>
      </c>
      <c r="H26" s="11" t="str">
        <f aca="false">IFERROR(INDEX(Catalogo!$E$2:$E$29,MATCH($E26,Catalogo!$B$2:$B$29,0)),"")</f>
        <v/>
      </c>
      <c r="I26" s="31" t="str">
        <f aca="false">IFERROR(INDEX(Parametros!$C$13:$C$16,MATCH($F26,Parametros!$B$13:$B$16,0)),"")</f>
        <v/>
      </c>
      <c r="J26" s="36" t="str">
        <f aca="false">IFERROR(INDEX(Parametros!$E$13:$E$16,MATCH($F26,Parametros!$B$13:$B$16,0)),"")</f>
        <v/>
      </c>
      <c r="K26" s="33"/>
      <c r="L26" s="34" t="str">
        <f aca="false">IF(OR($K26="",$J26="",$J26=0),"",$K26+$J26)</f>
        <v/>
      </c>
      <c r="M26" s="29"/>
      <c r="N26" s="33"/>
      <c r="O26" s="33"/>
      <c r="P26" s="35" t="str">
        <f aca="false">IFERROR(INDEX(Parametros!$D$13:$D$16,MATCH($F26,Parametros!$B$13:$B$16,0)),"")</f>
        <v/>
      </c>
      <c r="Q26" s="30" t="str">
        <f aca="false">IF($F26="","",IF($F26="D","NAO","SIM"))</f>
        <v/>
      </c>
      <c r="R26" s="35" t="n">
        <f aca="false">IF(AND($M26="VERIFICADO",$Q26="SIM"),$P26,0)</f>
        <v>0</v>
      </c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30" t="str">
        <f aca="false">IFERROR(INDEX(Catalogo!$C$2:$C$29,MATCH($E27,Catalogo!$B$2:$B$29,0)),"")</f>
        <v/>
      </c>
      <c r="G27" s="11" t="str">
        <f aca="false">IFERROR(INDEX(Catalogo!$D$2:$D$29,MATCH($E27,Catalogo!$B$2:$B$29,0)),"")</f>
        <v/>
      </c>
      <c r="H27" s="11" t="str">
        <f aca="false">IFERROR(INDEX(Catalogo!$E$2:$E$29,MATCH($E27,Catalogo!$B$2:$B$29,0)),"")</f>
        <v/>
      </c>
      <c r="I27" s="31" t="str">
        <f aca="false">IFERROR(INDEX(Parametros!$C$13:$C$16,MATCH($F27,Parametros!$B$13:$B$16,0)),"")</f>
        <v/>
      </c>
      <c r="J27" s="36" t="str">
        <f aca="false">IFERROR(INDEX(Parametros!$E$13:$E$16,MATCH($F27,Parametros!$B$13:$B$16,0)),"")</f>
        <v/>
      </c>
      <c r="K27" s="33"/>
      <c r="L27" s="34" t="str">
        <f aca="false">IF(OR($K27="",$J27="",$J27=0),"",$K27+$J27)</f>
        <v/>
      </c>
      <c r="M27" s="29"/>
      <c r="N27" s="33"/>
      <c r="O27" s="33"/>
      <c r="P27" s="35" t="str">
        <f aca="false">IFERROR(INDEX(Parametros!$D$13:$D$16,MATCH($F27,Parametros!$B$13:$B$16,0)),"")</f>
        <v/>
      </c>
      <c r="Q27" s="30" t="str">
        <f aca="false">IF($F27="","",IF($F27="D","NAO","SIM"))</f>
        <v/>
      </c>
      <c r="R27" s="35" t="n">
        <f aca="false">IF(AND($M27="VERIFICADO",$Q27="SIM"),$P27,0)</f>
        <v>0</v>
      </c>
    </row>
    <row r="28" customFormat="false" ht="15" hidden="false" customHeight="false" outlineLevel="0" collapsed="false">
      <c r="A28" s="29"/>
      <c r="B28" s="29"/>
      <c r="C28" s="29"/>
      <c r="D28" s="29"/>
      <c r="E28" s="29"/>
      <c r="F28" s="30" t="str">
        <f aca="false">IFERROR(INDEX(Catalogo!$C$2:$C$29,MATCH($E28,Catalogo!$B$2:$B$29,0)),"")</f>
        <v/>
      </c>
      <c r="G28" s="11" t="str">
        <f aca="false">IFERROR(INDEX(Catalogo!$D$2:$D$29,MATCH($E28,Catalogo!$B$2:$B$29,0)),"")</f>
        <v/>
      </c>
      <c r="H28" s="11" t="str">
        <f aca="false">IFERROR(INDEX(Catalogo!$E$2:$E$29,MATCH($E28,Catalogo!$B$2:$B$29,0)),"")</f>
        <v/>
      </c>
      <c r="I28" s="31" t="str">
        <f aca="false">IFERROR(INDEX(Parametros!$C$13:$C$16,MATCH($F28,Parametros!$B$13:$B$16,0)),"")</f>
        <v/>
      </c>
      <c r="J28" s="36" t="str">
        <f aca="false">IFERROR(INDEX(Parametros!$E$13:$E$16,MATCH($F28,Parametros!$B$13:$B$16,0)),"")</f>
        <v/>
      </c>
      <c r="K28" s="33"/>
      <c r="L28" s="34" t="str">
        <f aca="false">IF(OR($K28="",$J28="",$J28=0),"",$K28+$J28)</f>
        <v/>
      </c>
      <c r="M28" s="29"/>
      <c r="N28" s="33"/>
      <c r="O28" s="33"/>
      <c r="P28" s="35" t="str">
        <f aca="false">IFERROR(INDEX(Parametros!$D$13:$D$16,MATCH($F28,Parametros!$B$13:$B$16,0)),"")</f>
        <v/>
      </c>
      <c r="Q28" s="30" t="str">
        <f aca="false">IF($F28="","",IF($F28="D","NAO","SIM"))</f>
        <v/>
      </c>
      <c r="R28" s="35" t="n">
        <f aca="false">IF(AND($M28="VERIFICADO",$Q28="SIM"),$P28,0)</f>
        <v>0</v>
      </c>
    </row>
    <row r="29" customFormat="false" ht="15" hidden="false" customHeight="false" outlineLevel="0" collapsed="false">
      <c r="A29" s="29"/>
      <c r="B29" s="29"/>
      <c r="C29" s="29"/>
      <c r="D29" s="29"/>
      <c r="E29" s="29"/>
      <c r="F29" s="30" t="str">
        <f aca="false">IFERROR(INDEX(Catalogo!$C$2:$C$29,MATCH($E29,Catalogo!$B$2:$B$29,0)),"")</f>
        <v/>
      </c>
      <c r="G29" s="11" t="str">
        <f aca="false">IFERROR(INDEX(Catalogo!$D$2:$D$29,MATCH($E29,Catalogo!$B$2:$B$29,0)),"")</f>
        <v/>
      </c>
      <c r="H29" s="11" t="str">
        <f aca="false">IFERROR(INDEX(Catalogo!$E$2:$E$29,MATCH($E29,Catalogo!$B$2:$B$29,0)),"")</f>
        <v/>
      </c>
      <c r="I29" s="31" t="str">
        <f aca="false">IFERROR(INDEX(Parametros!$C$13:$C$16,MATCH($F29,Parametros!$B$13:$B$16,0)),"")</f>
        <v/>
      </c>
      <c r="J29" s="36" t="str">
        <f aca="false">IFERROR(INDEX(Parametros!$E$13:$E$16,MATCH($F29,Parametros!$B$13:$B$16,0)),"")</f>
        <v/>
      </c>
      <c r="K29" s="33"/>
      <c r="L29" s="34" t="str">
        <f aca="false">IF(OR($K29="",$J29="",$J29=0),"",$K29+$J29)</f>
        <v/>
      </c>
      <c r="M29" s="29"/>
      <c r="N29" s="33"/>
      <c r="O29" s="33"/>
      <c r="P29" s="35" t="str">
        <f aca="false">IFERROR(INDEX(Parametros!$D$13:$D$16,MATCH($F29,Parametros!$B$13:$B$16,0)),"")</f>
        <v/>
      </c>
      <c r="Q29" s="30" t="str">
        <f aca="false">IF($F29="","",IF($F29="D","NAO","SIM"))</f>
        <v/>
      </c>
      <c r="R29" s="35" t="n">
        <f aca="false">IF(AND($M29="VERIFICADO",$Q29="SIM"),$P29,0)</f>
        <v>0</v>
      </c>
    </row>
    <row r="30" customFormat="false" ht="15" hidden="false" customHeight="false" outlineLevel="0" collapsed="false">
      <c r="A30" s="29"/>
      <c r="B30" s="29"/>
      <c r="C30" s="29"/>
      <c r="D30" s="29"/>
      <c r="E30" s="29"/>
      <c r="F30" s="30" t="str">
        <f aca="false">IFERROR(INDEX(Catalogo!$C$2:$C$29,MATCH($E30,Catalogo!$B$2:$B$29,0)),"")</f>
        <v/>
      </c>
      <c r="G30" s="11" t="str">
        <f aca="false">IFERROR(INDEX(Catalogo!$D$2:$D$29,MATCH($E30,Catalogo!$B$2:$B$29,0)),"")</f>
        <v/>
      </c>
      <c r="H30" s="11" t="str">
        <f aca="false">IFERROR(INDEX(Catalogo!$E$2:$E$29,MATCH($E30,Catalogo!$B$2:$B$29,0)),"")</f>
        <v/>
      </c>
      <c r="I30" s="31" t="str">
        <f aca="false">IFERROR(INDEX(Parametros!$C$13:$C$16,MATCH($F30,Parametros!$B$13:$B$16,0)),"")</f>
        <v/>
      </c>
      <c r="J30" s="36" t="str">
        <f aca="false">IFERROR(INDEX(Parametros!$E$13:$E$16,MATCH($F30,Parametros!$B$13:$B$16,0)),"")</f>
        <v/>
      </c>
      <c r="K30" s="33"/>
      <c r="L30" s="34" t="str">
        <f aca="false">IF(OR($K30="",$J30="",$J30=0),"",$K30+$J30)</f>
        <v/>
      </c>
      <c r="M30" s="29"/>
      <c r="N30" s="33"/>
      <c r="O30" s="33"/>
      <c r="P30" s="35" t="str">
        <f aca="false">IFERROR(INDEX(Parametros!$D$13:$D$16,MATCH($F30,Parametros!$B$13:$B$16,0)),"")</f>
        <v/>
      </c>
      <c r="Q30" s="30" t="str">
        <f aca="false">IF($F30="","",IF($F30="D","NAO","SIM"))</f>
        <v/>
      </c>
      <c r="R30" s="35" t="n">
        <f aca="false">IF(AND($M30="VERIFICADO",$Q30="SIM"),$P30,0)</f>
        <v>0</v>
      </c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30" t="str">
        <f aca="false">IFERROR(INDEX(Catalogo!$C$2:$C$29,MATCH($E31,Catalogo!$B$2:$B$29,0)),"")</f>
        <v/>
      </c>
      <c r="G31" s="11" t="str">
        <f aca="false">IFERROR(INDEX(Catalogo!$D$2:$D$29,MATCH($E31,Catalogo!$B$2:$B$29,0)),"")</f>
        <v/>
      </c>
      <c r="H31" s="11" t="str">
        <f aca="false">IFERROR(INDEX(Catalogo!$E$2:$E$29,MATCH($E31,Catalogo!$B$2:$B$29,0)),"")</f>
        <v/>
      </c>
      <c r="I31" s="31" t="str">
        <f aca="false">IFERROR(INDEX(Parametros!$C$13:$C$16,MATCH($F31,Parametros!$B$13:$B$16,0)),"")</f>
        <v/>
      </c>
      <c r="J31" s="36" t="str">
        <f aca="false">IFERROR(INDEX(Parametros!$E$13:$E$16,MATCH($F31,Parametros!$B$13:$B$16,0)),"")</f>
        <v/>
      </c>
      <c r="K31" s="33"/>
      <c r="L31" s="34" t="str">
        <f aca="false">IF(OR($K31="",$J31="",$J31=0),"",$K31+$J31)</f>
        <v/>
      </c>
      <c r="M31" s="29"/>
      <c r="N31" s="33"/>
      <c r="O31" s="33"/>
      <c r="P31" s="35" t="str">
        <f aca="false">IFERROR(INDEX(Parametros!$D$13:$D$16,MATCH($F31,Parametros!$B$13:$B$16,0)),"")</f>
        <v/>
      </c>
      <c r="Q31" s="30" t="str">
        <f aca="false">IF($F31="","",IF($F31="D","NAO","SIM"))</f>
        <v/>
      </c>
      <c r="R31" s="35" t="n">
        <f aca="false">IF(AND($M31="VERIFICADO",$Q31="SIM"),$P31,0)</f>
        <v>0</v>
      </c>
    </row>
    <row r="32" customFormat="false" ht="15" hidden="false" customHeight="false" outlineLevel="0" collapsed="false">
      <c r="A32" s="29"/>
      <c r="B32" s="29"/>
      <c r="C32" s="29"/>
      <c r="D32" s="29"/>
      <c r="E32" s="29"/>
      <c r="F32" s="30" t="str">
        <f aca="false">IFERROR(INDEX(Catalogo!$C$2:$C$29,MATCH($E32,Catalogo!$B$2:$B$29,0)),"")</f>
        <v/>
      </c>
      <c r="G32" s="11" t="str">
        <f aca="false">IFERROR(INDEX(Catalogo!$D$2:$D$29,MATCH($E32,Catalogo!$B$2:$B$29,0)),"")</f>
        <v/>
      </c>
      <c r="H32" s="11" t="str">
        <f aca="false">IFERROR(INDEX(Catalogo!$E$2:$E$29,MATCH($E32,Catalogo!$B$2:$B$29,0)),"")</f>
        <v/>
      </c>
      <c r="I32" s="31" t="str">
        <f aca="false">IFERROR(INDEX(Parametros!$C$13:$C$16,MATCH($F32,Parametros!$B$13:$B$16,0)),"")</f>
        <v/>
      </c>
      <c r="J32" s="36" t="str">
        <f aca="false">IFERROR(INDEX(Parametros!$E$13:$E$16,MATCH($F32,Parametros!$B$13:$B$16,0)),"")</f>
        <v/>
      </c>
      <c r="K32" s="33"/>
      <c r="L32" s="34" t="str">
        <f aca="false">IF(OR($K32="",$J32="",$J32=0),"",$K32+$J32)</f>
        <v/>
      </c>
      <c r="M32" s="29"/>
      <c r="N32" s="33"/>
      <c r="O32" s="33"/>
      <c r="P32" s="35" t="str">
        <f aca="false">IFERROR(INDEX(Parametros!$D$13:$D$16,MATCH($F32,Parametros!$B$13:$B$16,0)),"")</f>
        <v/>
      </c>
      <c r="Q32" s="30" t="str">
        <f aca="false">IF($F32="","",IF($F32="D","NAO","SIM"))</f>
        <v/>
      </c>
      <c r="R32" s="35" t="n">
        <f aca="false">IF(AND($M32="VERIFICADO",$Q32="SIM"),$P32,0)</f>
        <v>0</v>
      </c>
    </row>
    <row r="33" customFormat="false" ht="15" hidden="false" customHeight="false" outlineLevel="0" collapsed="false">
      <c r="A33" s="29"/>
      <c r="B33" s="29"/>
      <c r="C33" s="29"/>
      <c r="D33" s="29"/>
      <c r="E33" s="29"/>
      <c r="F33" s="30" t="str">
        <f aca="false">IFERROR(INDEX(Catalogo!$C$2:$C$29,MATCH($E33,Catalogo!$B$2:$B$29,0)),"")</f>
        <v/>
      </c>
      <c r="G33" s="11" t="str">
        <f aca="false">IFERROR(INDEX(Catalogo!$D$2:$D$29,MATCH($E33,Catalogo!$B$2:$B$29,0)),"")</f>
        <v/>
      </c>
      <c r="H33" s="11" t="str">
        <f aca="false">IFERROR(INDEX(Catalogo!$E$2:$E$29,MATCH($E33,Catalogo!$B$2:$B$29,0)),"")</f>
        <v/>
      </c>
      <c r="I33" s="31" t="str">
        <f aca="false">IFERROR(INDEX(Parametros!$C$13:$C$16,MATCH($F33,Parametros!$B$13:$B$16,0)),"")</f>
        <v/>
      </c>
      <c r="J33" s="36" t="str">
        <f aca="false">IFERROR(INDEX(Parametros!$E$13:$E$16,MATCH($F33,Parametros!$B$13:$B$16,0)),"")</f>
        <v/>
      </c>
      <c r="K33" s="33"/>
      <c r="L33" s="34" t="str">
        <f aca="false">IF(OR($K33="",$J33="",$J33=0),"",$K33+$J33)</f>
        <v/>
      </c>
      <c r="M33" s="29"/>
      <c r="N33" s="33"/>
      <c r="O33" s="33"/>
      <c r="P33" s="35" t="str">
        <f aca="false">IFERROR(INDEX(Parametros!$D$13:$D$16,MATCH($F33,Parametros!$B$13:$B$16,0)),"")</f>
        <v/>
      </c>
      <c r="Q33" s="30" t="str">
        <f aca="false">IF($F33="","",IF($F33="D","NAO","SIM"))</f>
        <v/>
      </c>
      <c r="R33" s="35" t="n">
        <f aca="false">IF(AND($M33="VERIFICADO",$Q33="SIM"),$P33,0)</f>
        <v>0</v>
      </c>
    </row>
    <row r="34" customFormat="false" ht="15" hidden="false" customHeight="false" outlineLevel="0" collapsed="false">
      <c r="A34" s="29"/>
      <c r="B34" s="29"/>
      <c r="C34" s="29"/>
      <c r="D34" s="29"/>
      <c r="E34" s="29"/>
      <c r="F34" s="30" t="str">
        <f aca="false">IFERROR(INDEX(Catalogo!$C$2:$C$29,MATCH($E34,Catalogo!$B$2:$B$29,0)),"")</f>
        <v/>
      </c>
      <c r="G34" s="11" t="str">
        <f aca="false">IFERROR(INDEX(Catalogo!$D$2:$D$29,MATCH($E34,Catalogo!$B$2:$B$29,0)),"")</f>
        <v/>
      </c>
      <c r="H34" s="11" t="str">
        <f aca="false">IFERROR(INDEX(Catalogo!$E$2:$E$29,MATCH($E34,Catalogo!$B$2:$B$29,0)),"")</f>
        <v/>
      </c>
      <c r="I34" s="31" t="str">
        <f aca="false">IFERROR(INDEX(Parametros!$C$13:$C$16,MATCH($F34,Parametros!$B$13:$B$16,0)),"")</f>
        <v/>
      </c>
      <c r="J34" s="36" t="str">
        <f aca="false">IFERROR(INDEX(Parametros!$E$13:$E$16,MATCH($F34,Parametros!$B$13:$B$16,0)),"")</f>
        <v/>
      </c>
      <c r="K34" s="33"/>
      <c r="L34" s="34" t="str">
        <f aca="false">IF(OR($K34="",$J34="",$J34=0),"",$K34+$J34)</f>
        <v/>
      </c>
      <c r="M34" s="29"/>
      <c r="N34" s="33"/>
      <c r="O34" s="33"/>
      <c r="P34" s="35" t="str">
        <f aca="false">IFERROR(INDEX(Parametros!$D$13:$D$16,MATCH($F34,Parametros!$B$13:$B$16,0)),"")</f>
        <v/>
      </c>
      <c r="Q34" s="30" t="str">
        <f aca="false">IF($F34="","",IF($F34="D","NAO","SIM"))</f>
        <v/>
      </c>
      <c r="R34" s="35" t="n">
        <f aca="false">IF(AND($M34="VERIFICADO",$Q34="SIM"),$P34,0)</f>
        <v>0</v>
      </c>
    </row>
    <row r="35" customFormat="false" ht="15" hidden="false" customHeight="false" outlineLevel="0" collapsed="false">
      <c r="A35" s="29"/>
      <c r="B35" s="29"/>
      <c r="C35" s="29"/>
      <c r="D35" s="29"/>
      <c r="E35" s="29"/>
      <c r="F35" s="30" t="str">
        <f aca="false">IFERROR(INDEX(Catalogo!$C$2:$C$29,MATCH($E35,Catalogo!$B$2:$B$29,0)),"")</f>
        <v/>
      </c>
      <c r="G35" s="11" t="str">
        <f aca="false">IFERROR(INDEX(Catalogo!$D$2:$D$29,MATCH($E35,Catalogo!$B$2:$B$29,0)),"")</f>
        <v/>
      </c>
      <c r="H35" s="11" t="str">
        <f aca="false">IFERROR(INDEX(Catalogo!$E$2:$E$29,MATCH($E35,Catalogo!$B$2:$B$29,0)),"")</f>
        <v/>
      </c>
      <c r="I35" s="31" t="str">
        <f aca="false">IFERROR(INDEX(Parametros!$C$13:$C$16,MATCH($F35,Parametros!$B$13:$B$16,0)),"")</f>
        <v/>
      </c>
      <c r="J35" s="36" t="str">
        <f aca="false">IFERROR(INDEX(Parametros!$E$13:$E$16,MATCH($F35,Parametros!$B$13:$B$16,0)),"")</f>
        <v/>
      </c>
      <c r="K35" s="33"/>
      <c r="L35" s="34" t="str">
        <f aca="false">IF(OR($K35="",$J35="",$J35=0),"",$K35+$J35)</f>
        <v/>
      </c>
      <c r="M35" s="29"/>
      <c r="N35" s="33"/>
      <c r="O35" s="33"/>
      <c r="P35" s="35" t="str">
        <f aca="false">IFERROR(INDEX(Parametros!$D$13:$D$16,MATCH($F35,Parametros!$B$13:$B$16,0)),"")</f>
        <v/>
      </c>
      <c r="Q35" s="30" t="str">
        <f aca="false">IF($F35="","",IF($F35="D","NAO","SIM"))</f>
        <v/>
      </c>
      <c r="R35" s="35" t="n">
        <f aca="false">IF(AND($M35="VERIFICADO",$Q35="SIM"),$P35,0)</f>
        <v>0</v>
      </c>
    </row>
    <row r="36" customFormat="false" ht="15" hidden="false" customHeight="false" outlineLevel="0" collapsed="false">
      <c r="A36" s="29"/>
      <c r="B36" s="29"/>
      <c r="C36" s="29"/>
      <c r="D36" s="29"/>
      <c r="E36" s="29"/>
      <c r="F36" s="30" t="str">
        <f aca="false">IFERROR(INDEX(Catalogo!$C$2:$C$29,MATCH($E36,Catalogo!$B$2:$B$29,0)),"")</f>
        <v/>
      </c>
      <c r="G36" s="11" t="str">
        <f aca="false">IFERROR(INDEX(Catalogo!$D$2:$D$29,MATCH($E36,Catalogo!$B$2:$B$29,0)),"")</f>
        <v/>
      </c>
      <c r="H36" s="11" t="str">
        <f aca="false">IFERROR(INDEX(Catalogo!$E$2:$E$29,MATCH($E36,Catalogo!$B$2:$B$29,0)),"")</f>
        <v/>
      </c>
      <c r="I36" s="31" t="str">
        <f aca="false">IFERROR(INDEX(Parametros!$C$13:$C$16,MATCH($F36,Parametros!$B$13:$B$16,0)),"")</f>
        <v/>
      </c>
      <c r="J36" s="36" t="str">
        <f aca="false">IFERROR(INDEX(Parametros!$E$13:$E$16,MATCH($F36,Parametros!$B$13:$B$16,0)),"")</f>
        <v/>
      </c>
      <c r="K36" s="33"/>
      <c r="L36" s="34" t="str">
        <f aca="false">IF(OR($K36="",$J36="",$J36=0),"",$K36+$J36)</f>
        <v/>
      </c>
      <c r="M36" s="29"/>
      <c r="N36" s="33"/>
      <c r="O36" s="33"/>
      <c r="P36" s="35" t="str">
        <f aca="false">IFERROR(INDEX(Parametros!$D$13:$D$16,MATCH($F36,Parametros!$B$13:$B$16,0)),"")</f>
        <v/>
      </c>
      <c r="Q36" s="30" t="str">
        <f aca="false">IF($F36="","",IF($F36="D","NAO","SIM"))</f>
        <v/>
      </c>
      <c r="R36" s="35" t="n">
        <f aca="false">IF(AND($M36="VERIFICADO",$Q36="SIM"),$P36,0)</f>
        <v>0</v>
      </c>
    </row>
    <row r="37" customFormat="false" ht="15" hidden="false" customHeight="false" outlineLevel="0" collapsed="false">
      <c r="A37" s="29"/>
      <c r="B37" s="29"/>
      <c r="C37" s="29"/>
      <c r="D37" s="29"/>
      <c r="E37" s="29"/>
      <c r="F37" s="30" t="str">
        <f aca="false">IFERROR(INDEX(Catalogo!$C$2:$C$29,MATCH($E37,Catalogo!$B$2:$B$29,0)),"")</f>
        <v/>
      </c>
      <c r="G37" s="11" t="str">
        <f aca="false">IFERROR(INDEX(Catalogo!$D$2:$D$29,MATCH($E37,Catalogo!$B$2:$B$29,0)),"")</f>
        <v/>
      </c>
      <c r="H37" s="11" t="str">
        <f aca="false">IFERROR(INDEX(Catalogo!$E$2:$E$29,MATCH($E37,Catalogo!$B$2:$B$29,0)),"")</f>
        <v/>
      </c>
      <c r="I37" s="31" t="str">
        <f aca="false">IFERROR(INDEX(Parametros!$C$13:$C$16,MATCH($F37,Parametros!$B$13:$B$16,0)),"")</f>
        <v/>
      </c>
      <c r="J37" s="36" t="str">
        <f aca="false">IFERROR(INDEX(Parametros!$E$13:$E$16,MATCH($F37,Parametros!$B$13:$B$16,0)),"")</f>
        <v/>
      </c>
      <c r="K37" s="33"/>
      <c r="L37" s="34" t="str">
        <f aca="false">IF(OR($K37="",$J37="",$J37=0),"",$K37+$J37)</f>
        <v/>
      </c>
      <c r="M37" s="29"/>
      <c r="N37" s="33"/>
      <c r="O37" s="33"/>
      <c r="P37" s="35" t="str">
        <f aca="false">IFERROR(INDEX(Parametros!$D$13:$D$16,MATCH($F37,Parametros!$B$13:$B$16,0)),"")</f>
        <v/>
      </c>
      <c r="Q37" s="30" t="str">
        <f aca="false">IF($F37="","",IF($F37="D","NAO","SIM"))</f>
        <v/>
      </c>
      <c r="R37" s="35" t="n">
        <f aca="false">IF(AND($M37="VERIFICADO",$Q37="SIM"),$P37,0)</f>
        <v>0</v>
      </c>
    </row>
    <row r="38" customFormat="false" ht="15" hidden="false" customHeight="false" outlineLevel="0" collapsed="false">
      <c r="A38" s="29"/>
      <c r="B38" s="29"/>
      <c r="C38" s="29"/>
      <c r="D38" s="29"/>
      <c r="E38" s="29"/>
      <c r="F38" s="30" t="str">
        <f aca="false">IFERROR(INDEX(Catalogo!$C$2:$C$29,MATCH($E38,Catalogo!$B$2:$B$29,0)),"")</f>
        <v/>
      </c>
      <c r="G38" s="11" t="str">
        <f aca="false">IFERROR(INDEX(Catalogo!$D$2:$D$29,MATCH($E38,Catalogo!$B$2:$B$29,0)),"")</f>
        <v/>
      </c>
      <c r="H38" s="11" t="str">
        <f aca="false">IFERROR(INDEX(Catalogo!$E$2:$E$29,MATCH($E38,Catalogo!$B$2:$B$29,0)),"")</f>
        <v/>
      </c>
      <c r="I38" s="31" t="str">
        <f aca="false">IFERROR(INDEX(Parametros!$C$13:$C$16,MATCH($F38,Parametros!$B$13:$B$16,0)),"")</f>
        <v/>
      </c>
      <c r="J38" s="36" t="str">
        <f aca="false">IFERROR(INDEX(Parametros!$E$13:$E$16,MATCH($F38,Parametros!$B$13:$B$16,0)),"")</f>
        <v/>
      </c>
      <c r="K38" s="33"/>
      <c r="L38" s="34" t="str">
        <f aca="false">IF(OR($K38="",$J38="",$J38=0),"",$K38+$J38)</f>
        <v/>
      </c>
      <c r="M38" s="29"/>
      <c r="N38" s="33"/>
      <c r="O38" s="33"/>
      <c r="P38" s="35" t="str">
        <f aca="false">IFERROR(INDEX(Parametros!$D$13:$D$16,MATCH($F38,Parametros!$B$13:$B$16,0)),"")</f>
        <v/>
      </c>
      <c r="Q38" s="30" t="str">
        <f aca="false">IF($F38="","",IF($F38="D","NAO","SIM"))</f>
        <v/>
      </c>
      <c r="R38" s="35" t="n">
        <f aca="false">IF(AND($M38="VERIFICADO",$Q38="SIM"),$P38,0)</f>
        <v>0</v>
      </c>
    </row>
    <row r="39" customFormat="false" ht="15" hidden="false" customHeight="false" outlineLevel="0" collapsed="false">
      <c r="A39" s="29"/>
      <c r="B39" s="29"/>
      <c r="C39" s="29"/>
      <c r="D39" s="29"/>
      <c r="E39" s="29"/>
      <c r="F39" s="30" t="str">
        <f aca="false">IFERROR(INDEX(Catalogo!$C$2:$C$29,MATCH($E39,Catalogo!$B$2:$B$29,0)),"")</f>
        <v/>
      </c>
      <c r="G39" s="11" t="str">
        <f aca="false">IFERROR(INDEX(Catalogo!$D$2:$D$29,MATCH($E39,Catalogo!$B$2:$B$29,0)),"")</f>
        <v/>
      </c>
      <c r="H39" s="11" t="str">
        <f aca="false">IFERROR(INDEX(Catalogo!$E$2:$E$29,MATCH($E39,Catalogo!$B$2:$B$29,0)),"")</f>
        <v/>
      </c>
      <c r="I39" s="31" t="str">
        <f aca="false">IFERROR(INDEX(Parametros!$C$13:$C$16,MATCH($F39,Parametros!$B$13:$B$16,0)),"")</f>
        <v/>
      </c>
      <c r="J39" s="36" t="str">
        <f aca="false">IFERROR(INDEX(Parametros!$E$13:$E$16,MATCH($F39,Parametros!$B$13:$B$16,0)),"")</f>
        <v/>
      </c>
      <c r="K39" s="33"/>
      <c r="L39" s="34" t="str">
        <f aca="false">IF(OR($K39="",$J39="",$J39=0),"",$K39+$J39)</f>
        <v/>
      </c>
      <c r="M39" s="29"/>
      <c r="N39" s="33"/>
      <c r="O39" s="33"/>
      <c r="P39" s="35" t="str">
        <f aca="false">IFERROR(INDEX(Parametros!$D$13:$D$16,MATCH($F39,Parametros!$B$13:$B$16,0)),"")</f>
        <v/>
      </c>
      <c r="Q39" s="30" t="str">
        <f aca="false">IF($F39="","",IF($F39="D","NAO","SIM"))</f>
        <v/>
      </c>
      <c r="R39" s="35" t="n">
        <f aca="false">IF(AND($M39="VERIFICADO",$Q39="SIM"),$P39,0)</f>
        <v>0</v>
      </c>
    </row>
    <row r="40" customFormat="false" ht="15" hidden="false" customHeight="false" outlineLevel="0" collapsed="false">
      <c r="A40" s="29"/>
      <c r="B40" s="29"/>
      <c r="C40" s="29"/>
      <c r="D40" s="29"/>
      <c r="E40" s="29"/>
      <c r="F40" s="30" t="str">
        <f aca="false">IFERROR(INDEX(Catalogo!$C$2:$C$29,MATCH($E40,Catalogo!$B$2:$B$29,0)),"")</f>
        <v/>
      </c>
      <c r="G40" s="11" t="str">
        <f aca="false">IFERROR(INDEX(Catalogo!$D$2:$D$29,MATCH($E40,Catalogo!$B$2:$B$29,0)),"")</f>
        <v/>
      </c>
      <c r="H40" s="11" t="str">
        <f aca="false">IFERROR(INDEX(Catalogo!$E$2:$E$29,MATCH($E40,Catalogo!$B$2:$B$29,0)),"")</f>
        <v/>
      </c>
      <c r="I40" s="31" t="str">
        <f aca="false">IFERROR(INDEX(Parametros!$C$13:$C$16,MATCH($F40,Parametros!$B$13:$B$16,0)),"")</f>
        <v/>
      </c>
      <c r="J40" s="36" t="str">
        <f aca="false">IFERROR(INDEX(Parametros!$E$13:$E$16,MATCH($F40,Parametros!$B$13:$B$16,0)),"")</f>
        <v/>
      </c>
      <c r="K40" s="33"/>
      <c r="L40" s="34" t="str">
        <f aca="false">IF(OR($K40="",$J40="",$J40=0),"",$K40+$J40)</f>
        <v/>
      </c>
      <c r="M40" s="29"/>
      <c r="N40" s="33"/>
      <c r="O40" s="33"/>
      <c r="P40" s="35" t="str">
        <f aca="false">IFERROR(INDEX(Parametros!$D$13:$D$16,MATCH($F40,Parametros!$B$13:$B$16,0)),"")</f>
        <v/>
      </c>
      <c r="Q40" s="30" t="str">
        <f aca="false">IF($F40="","",IF($F40="D","NAO","SIM"))</f>
        <v/>
      </c>
      <c r="R40" s="35" t="n">
        <f aca="false">IF(AND($M40="VERIFICADO",$Q40="SIM"),$P40,0)</f>
        <v>0</v>
      </c>
    </row>
    <row r="41" customFormat="false" ht="15" hidden="false" customHeight="false" outlineLevel="0" collapsed="false">
      <c r="A41" s="29"/>
      <c r="B41" s="29"/>
      <c r="C41" s="29"/>
      <c r="D41" s="29"/>
      <c r="E41" s="29"/>
      <c r="F41" s="30" t="str">
        <f aca="false">IFERROR(INDEX(Catalogo!$C$2:$C$29,MATCH($E41,Catalogo!$B$2:$B$29,0)),"")</f>
        <v/>
      </c>
      <c r="G41" s="11" t="str">
        <f aca="false">IFERROR(INDEX(Catalogo!$D$2:$D$29,MATCH($E41,Catalogo!$B$2:$B$29,0)),"")</f>
        <v/>
      </c>
      <c r="H41" s="11" t="str">
        <f aca="false">IFERROR(INDEX(Catalogo!$E$2:$E$29,MATCH($E41,Catalogo!$B$2:$B$29,0)),"")</f>
        <v/>
      </c>
      <c r="I41" s="31" t="str">
        <f aca="false">IFERROR(INDEX(Parametros!$C$13:$C$16,MATCH($F41,Parametros!$B$13:$B$16,0)),"")</f>
        <v/>
      </c>
      <c r="J41" s="36" t="str">
        <f aca="false">IFERROR(INDEX(Parametros!$E$13:$E$16,MATCH($F41,Parametros!$B$13:$B$16,0)),"")</f>
        <v/>
      </c>
      <c r="K41" s="33"/>
      <c r="L41" s="34" t="str">
        <f aca="false">IF(OR($K41="",$J41="",$J41=0),"",$K41+$J41)</f>
        <v/>
      </c>
      <c r="M41" s="29"/>
      <c r="N41" s="33"/>
      <c r="O41" s="33"/>
      <c r="P41" s="35" t="str">
        <f aca="false">IFERROR(INDEX(Parametros!$D$13:$D$16,MATCH($F41,Parametros!$B$13:$B$16,0)),"")</f>
        <v/>
      </c>
      <c r="Q41" s="30" t="str">
        <f aca="false">IF($F41="","",IF($F41="D","NAO","SIM"))</f>
        <v/>
      </c>
      <c r="R41" s="35" t="n">
        <f aca="false">IF(AND($M41="VERIFICADO",$Q41="SIM"),$P41,0)</f>
        <v>0</v>
      </c>
    </row>
    <row r="42" customFormat="false" ht="15" hidden="false" customHeight="false" outlineLevel="0" collapsed="false">
      <c r="A42" s="29"/>
      <c r="B42" s="29"/>
      <c r="C42" s="29"/>
      <c r="D42" s="29"/>
      <c r="E42" s="29"/>
      <c r="F42" s="30" t="str">
        <f aca="false">IFERROR(INDEX(Catalogo!$C$2:$C$29,MATCH($E42,Catalogo!$B$2:$B$29,0)),"")</f>
        <v/>
      </c>
      <c r="G42" s="11" t="str">
        <f aca="false">IFERROR(INDEX(Catalogo!$D$2:$D$29,MATCH($E42,Catalogo!$B$2:$B$29,0)),"")</f>
        <v/>
      </c>
      <c r="H42" s="11" t="str">
        <f aca="false">IFERROR(INDEX(Catalogo!$E$2:$E$29,MATCH($E42,Catalogo!$B$2:$B$29,0)),"")</f>
        <v/>
      </c>
      <c r="I42" s="31" t="str">
        <f aca="false">IFERROR(INDEX(Parametros!$C$13:$C$16,MATCH($F42,Parametros!$B$13:$B$16,0)),"")</f>
        <v/>
      </c>
      <c r="J42" s="36" t="str">
        <f aca="false">IFERROR(INDEX(Parametros!$E$13:$E$16,MATCH($F42,Parametros!$B$13:$B$16,0)),"")</f>
        <v/>
      </c>
      <c r="K42" s="33"/>
      <c r="L42" s="34" t="str">
        <f aca="false">IF(OR($K42="",$J42="",$J42=0),"",$K42+$J42)</f>
        <v/>
      </c>
      <c r="M42" s="29"/>
      <c r="N42" s="33"/>
      <c r="O42" s="33"/>
      <c r="P42" s="35" t="str">
        <f aca="false">IFERROR(INDEX(Parametros!$D$13:$D$16,MATCH($F42,Parametros!$B$13:$B$16,0)),"")</f>
        <v/>
      </c>
      <c r="Q42" s="30" t="str">
        <f aca="false">IF($F42="","",IF($F42="D","NAO","SIM"))</f>
        <v/>
      </c>
      <c r="R42" s="35" t="n">
        <f aca="false">IF(AND($M42="VERIFICADO",$Q42="SIM"),$P42,0)</f>
        <v>0</v>
      </c>
    </row>
    <row r="43" customFormat="false" ht="15" hidden="false" customHeight="false" outlineLevel="0" collapsed="false">
      <c r="A43" s="29"/>
      <c r="B43" s="29"/>
      <c r="C43" s="29"/>
      <c r="D43" s="29"/>
      <c r="E43" s="29"/>
      <c r="F43" s="30" t="str">
        <f aca="false">IFERROR(INDEX(Catalogo!$C$2:$C$29,MATCH($E43,Catalogo!$B$2:$B$29,0)),"")</f>
        <v/>
      </c>
      <c r="G43" s="11" t="str">
        <f aca="false">IFERROR(INDEX(Catalogo!$D$2:$D$29,MATCH($E43,Catalogo!$B$2:$B$29,0)),"")</f>
        <v/>
      </c>
      <c r="H43" s="11" t="str">
        <f aca="false">IFERROR(INDEX(Catalogo!$E$2:$E$29,MATCH($E43,Catalogo!$B$2:$B$29,0)),"")</f>
        <v/>
      </c>
      <c r="I43" s="31" t="str">
        <f aca="false">IFERROR(INDEX(Parametros!$C$13:$C$16,MATCH($F43,Parametros!$B$13:$B$16,0)),"")</f>
        <v/>
      </c>
      <c r="J43" s="36" t="str">
        <f aca="false">IFERROR(INDEX(Parametros!$E$13:$E$16,MATCH($F43,Parametros!$B$13:$B$16,0)),"")</f>
        <v/>
      </c>
      <c r="K43" s="33"/>
      <c r="L43" s="34" t="str">
        <f aca="false">IF(OR($K43="",$J43="",$J43=0),"",$K43+$J43)</f>
        <v/>
      </c>
      <c r="M43" s="29"/>
      <c r="N43" s="33"/>
      <c r="O43" s="33"/>
      <c r="P43" s="35" t="str">
        <f aca="false">IFERROR(INDEX(Parametros!$D$13:$D$16,MATCH($F43,Parametros!$B$13:$B$16,0)),"")</f>
        <v/>
      </c>
      <c r="Q43" s="30" t="str">
        <f aca="false">IF($F43="","",IF($F43="D","NAO","SIM"))</f>
        <v/>
      </c>
      <c r="R43" s="35" t="n">
        <f aca="false">IF(AND($M43="VERIFICADO",$Q43="SIM"),$P43,0)</f>
        <v>0</v>
      </c>
    </row>
    <row r="44" customFormat="false" ht="15" hidden="false" customHeight="false" outlineLevel="0" collapsed="false">
      <c r="A44" s="29"/>
      <c r="B44" s="29"/>
      <c r="C44" s="29"/>
      <c r="D44" s="29"/>
      <c r="E44" s="29"/>
      <c r="F44" s="30" t="str">
        <f aca="false">IFERROR(INDEX(Catalogo!$C$2:$C$29,MATCH($E44,Catalogo!$B$2:$B$29,0)),"")</f>
        <v/>
      </c>
      <c r="G44" s="11" t="str">
        <f aca="false">IFERROR(INDEX(Catalogo!$D$2:$D$29,MATCH($E44,Catalogo!$B$2:$B$29,0)),"")</f>
        <v/>
      </c>
      <c r="H44" s="11" t="str">
        <f aca="false">IFERROR(INDEX(Catalogo!$E$2:$E$29,MATCH($E44,Catalogo!$B$2:$B$29,0)),"")</f>
        <v/>
      </c>
      <c r="I44" s="31" t="str">
        <f aca="false">IFERROR(INDEX(Parametros!$C$13:$C$16,MATCH($F44,Parametros!$B$13:$B$16,0)),"")</f>
        <v/>
      </c>
      <c r="J44" s="36" t="str">
        <f aca="false">IFERROR(INDEX(Parametros!$E$13:$E$16,MATCH($F44,Parametros!$B$13:$B$16,0)),"")</f>
        <v/>
      </c>
      <c r="K44" s="33"/>
      <c r="L44" s="34" t="str">
        <f aca="false">IF(OR($K44="",$J44="",$J44=0),"",$K44+$J44)</f>
        <v/>
      </c>
      <c r="M44" s="29"/>
      <c r="N44" s="33"/>
      <c r="O44" s="33"/>
      <c r="P44" s="35" t="str">
        <f aca="false">IFERROR(INDEX(Parametros!$D$13:$D$16,MATCH($F44,Parametros!$B$13:$B$16,0)),"")</f>
        <v/>
      </c>
      <c r="Q44" s="30" t="str">
        <f aca="false">IF($F44="","",IF($F44="D","NAO","SIM"))</f>
        <v/>
      </c>
      <c r="R44" s="35" t="n">
        <f aca="false">IF(AND($M44="VERIFICADO",$Q44="SIM"),$P44,0)</f>
        <v>0</v>
      </c>
    </row>
    <row r="45" customFormat="false" ht="15" hidden="false" customHeight="false" outlineLevel="0" collapsed="false">
      <c r="A45" s="29"/>
      <c r="B45" s="29"/>
      <c r="C45" s="29"/>
      <c r="D45" s="29"/>
      <c r="E45" s="29"/>
      <c r="F45" s="30" t="str">
        <f aca="false">IFERROR(INDEX(Catalogo!$C$2:$C$29,MATCH($E45,Catalogo!$B$2:$B$29,0)),"")</f>
        <v/>
      </c>
      <c r="G45" s="11" t="str">
        <f aca="false">IFERROR(INDEX(Catalogo!$D$2:$D$29,MATCH($E45,Catalogo!$B$2:$B$29,0)),"")</f>
        <v/>
      </c>
      <c r="H45" s="11" t="str">
        <f aca="false">IFERROR(INDEX(Catalogo!$E$2:$E$29,MATCH($E45,Catalogo!$B$2:$B$29,0)),"")</f>
        <v/>
      </c>
      <c r="I45" s="31" t="str">
        <f aca="false">IFERROR(INDEX(Parametros!$C$13:$C$16,MATCH($F45,Parametros!$B$13:$B$16,0)),"")</f>
        <v/>
      </c>
      <c r="J45" s="36" t="str">
        <f aca="false">IFERROR(INDEX(Parametros!$E$13:$E$16,MATCH($F45,Parametros!$B$13:$B$16,0)),"")</f>
        <v/>
      </c>
      <c r="K45" s="33"/>
      <c r="L45" s="34" t="str">
        <f aca="false">IF(OR($K45="",$J45="",$J45=0),"",$K45+$J45)</f>
        <v/>
      </c>
      <c r="M45" s="29"/>
      <c r="N45" s="33"/>
      <c r="O45" s="33"/>
      <c r="P45" s="35" t="str">
        <f aca="false">IFERROR(INDEX(Parametros!$D$13:$D$16,MATCH($F45,Parametros!$B$13:$B$16,0)),"")</f>
        <v/>
      </c>
      <c r="Q45" s="30" t="str">
        <f aca="false">IF($F45="","",IF($F45="D","NAO","SIM"))</f>
        <v/>
      </c>
      <c r="R45" s="35" t="n">
        <f aca="false">IF(AND($M45="VERIFICADO",$Q45="SIM"),$P45,0)</f>
        <v>0</v>
      </c>
    </row>
    <row r="46" customFormat="false" ht="15" hidden="false" customHeight="false" outlineLevel="0" collapsed="false">
      <c r="A46" s="29"/>
      <c r="B46" s="29"/>
      <c r="C46" s="29"/>
      <c r="D46" s="29"/>
      <c r="E46" s="29"/>
      <c r="F46" s="30" t="str">
        <f aca="false">IFERROR(INDEX(Catalogo!$C$2:$C$29,MATCH($E46,Catalogo!$B$2:$B$29,0)),"")</f>
        <v/>
      </c>
      <c r="G46" s="11" t="str">
        <f aca="false">IFERROR(INDEX(Catalogo!$D$2:$D$29,MATCH($E46,Catalogo!$B$2:$B$29,0)),"")</f>
        <v/>
      </c>
      <c r="H46" s="11" t="str">
        <f aca="false">IFERROR(INDEX(Catalogo!$E$2:$E$29,MATCH($E46,Catalogo!$B$2:$B$29,0)),"")</f>
        <v/>
      </c>
      <c r="I46" s="31" t="str">
        <f aca="false">IFERROR(INDEX(Parametros!$C$13:$C$16,MATCH($F46,Parametros!$B$13:$B$16,0)),"")</f>
        <v/>
      </c>
      <c r="J46" s="36" t="str">
        <f aca="false">IFERROR(INDEX(Parametros!$E$13:$E$16,MATCH($F46,Parametros!$B$13:$B$16,0)),"")</f>
        <v/>
      </c>
      <c r="K46" s="33"/>
      <c r="L46" s="34" t="str">
        <f aca="false">IF(OR($K46="",$J46="",$J46=0),"",$K46+$J46)</f>
        <v/>
      </c>
      <c r="M46" s="29"/>
      <c r="N46" s="33"/>
      <c r="O46" s="33"/>
      <c r="P46" s="35" t="str">
        <f aca="false">IFERROR(INDEX(Parametros!$D$13:$D$16,MATCH($F46,Parametros!$B$13:$B$16,0)),"")</f>
        <v/>
      </c>
      <c r="Q46" s="30" t="str">
        <f aca="false">IF($F46="","",IF($F46="D","NAO","SIM"))</f>
        <v/>
      </c>
      <c r="R46" s="35" t="n">
        <f aca="false">IF(AND($M46="VERIFICADO",$Q46="SIM"),$P46,0)</f>
        <v>0</v>
      </c>
    </row>
    <row r="47" customFormat="false" ht="15" hidden="false" customHeight="false" outlineLevel="0" collapsed="false">
      <c r="A47" s="29"/>
      <c r="B47" s="29"/>
      <c r="C47" s="29"/>
      <c r="D47" s="29"/>
      <c r="E47" s="29"/>
      <c r="F47" s="30" t="str">
        <f aca="false">IFERROR(INDEX(Catalogo!$C$2:$C$29,MATCH($E47,Catalogo!$B$2:$B$29,0)),"")</f>
        <v/>
      </c>
      <c r="G47" s="11" t="str">
        <f aca="false">IFERROR(INDEX(Catalogo!$D$2:$D$29,MATCH($E47,Catalogo!$B$2:$B$29,0)),"")</f>
        <v/>
      </c>
      <c r="H47" s="11" t="str">
        <f aca="false">IFERROR(INDEX(Catalogo!$E$2:$E$29,MATCH($E47,Catalogo!$B$2:$B$29,0)),"")</f>
        <v/>
      </c>
      <c r="I47" s="31" t="str">
        <f aca="false">IFERROR(INDEX(Parametros!$C$13:$C$16,MATCH($F47,Parametros!$B$13:$B$16,0)),"")</f>
        <v/>
      </c>
      <c r="J47" s="36" t="str">
        <f aca="false">IFERROR(INDEX(Parametros!$E$13:$E$16,MATCH($F47,Parametros!$B$13:$B$16,0)),"")</f>
        <v/>
      </c>
      <c r="K47" s="33"/>
      <c r="L47" s="34" t="str">
        <f aca="false">IF(OR($K47="",$J47="",$J47=0),"",$K47+$J47)</f>
        <v/>
      </c>
      <c r="M47" s="29"/>
      <c r="N47" s="33"/>
      <c r="O47" s="33"/>
      <c r="P47" s="35" t="str">
        <f aca="false">IFERROR(INDEX(Parametros!$D$13:$D$16,MATCH($F47,Parametros!$B$13:$B$16,0)),"")</f>
        <v/>
      </c>
      <c r="Q47" s="30" t="str">
        <f aca="false">IF($F47="","",IF($F47="D","NAO","SIM"))</f>
        <v/>
      </c>
      <c r="R47" s="35" t="n">
        <f aca="false">IF(AND($M47="VERIFICADO",$Q47="SIM"),$P47,0)</f>
        <v>0</v>
      </c>
    </row>
    <row r="48" customFormat="false" ht="15" hidden="false" customHeight="false" outlineLevel="0" collapsed="false">
      <c r="A48" s="29"/>
      <c r="B48" s="29"/>
      <c r="C48" s="29"/>
      <c r="D48" s="29"/>
      <c r="E48" s="29"/>
      <c r="F48" s="30" t="str">
        <f aca="false">IFERROR(INDEX(Catalogo!$C$2:$C$29,MATCH($E48,Catalogo!$B$2:$B$29,0)),"")</f>
        <v/>
      </c>
      <c r="G48" s="11" t="str">
        <f aca="false">IFERROR(INDEX(Catalogo!$D$2:$D$29,MATCH($E48,Catalogo!$B$2:$B$29,0)),"")</f>
        <v/>
      </c>
      <c r="H48" s="11" t="str">
        <f aca="false">IFERROR(INDEX(Catalogo!$E$2:$E$29,MATCH($E48,Catalogo!$B$2:$B$29,0)),"")</f>
        <v/>
      </c>
      <c r="I48" s="31" t="str">
        <f aca="false">IFERROR(INDEX(Parametros!$C$13:$C$16,MATCH($F48,Parametros!$B$13:$B$16,0)),"")</f>
        <v/>
      </c>
      <c r="J48" s="36" t="str">
        <f aca="false">IFERROR(INDEX(Parametros!$E$13:$E$16,MATCH($F48,Parametros!$B$13:$B$16,0)),"")</f>
        <v/>
      </c>
      <c r="K48" s="33"/>
      <c r="L48" s="34" t="str">
        <f aca="false">IF(OR($K48="",$J48="",$J48=0),"",$K48+$J48)</f>
        <v/>
      </c>
      <c r="M48" s="29"/>
      <c r="N48" s="33"/>
      <c r="O48" s="33"/>
      <c r="P48" s="35" t="str">
        <f aca="false">IFERROR(INDEX(Parametros!$D$13:$D$16,MATCH($F48,Parametros!$B$13:$B$16,0)),"")</f>
        <v/>
      </c>
      <c r="Q48" s="30" t="str">
        <f aca="false">IF($F48="","",IF($F48="D","NAO","SIM"))</f>
        <v/>
      </c>
      <c r="R48" s="35" t="n">
        <f aca="false">IF(AND($M48="VERIFICADO",$Q48="SIM"),$P48,0)</f>
        <v>0</v>
      </c>
    </row>
    <row r="49" customFormat="false" ht="15" hidden="false" customHeight="false" outlineLevel="0" collapsed="false">
      <c r="A49" s="29"/>
      <c r="B49" s="29"/>
      <c r="C49" s="29"/>
      <c r="D49" s="29"/>
      <c r="E49" s="29"/>
      <c r="F49" s="30" t="str">
        <f aca="false">IFERROR(INDEX(Catalogo!$C$2:$C$29,MATCH($E49,Catalogo!$B$2:$B$29,0)),"")</f>
        <v/>
      </c>
      <c r="G49" s="11" t="str">
        <f aca="false">IFERROR(INDEX(Catalogo!$D$2:$D$29,MATCH($E49,Catalogo!$B$2:$B$29,0)),"")</f>
        <v/>
      </c>
      <c r="H49" s="11" t="str">
        <f aca="false">IFERROR(INDEX(Catalogo!$E$2:$E$29,MATCH($E49,Catalogo!$B$2:$B$29,0)),"")</f>
        <v/>
      </c>
      <c r="I49" s="31" t="str">
        <f aca="false">IFERROR(INDEX(Parametros!$C$13:$C$16,MATCH($F49,Parametros!$B$13:$B$16,0)),"")</f>
        <v/>
      </c>
      <c r="J49" s="36" t="str">
        <f aca="false">IFERROR(INDEX(Parametros!$E$13:$E$16,MATCH($F49,Parametros!$B$13:$B$16,0)),"")</f>
        <v/>
      </c>
      <c r="K49" s="33"/>
      <c r="L49" s="34" t="str">
        <f aca="false">IF(OR($K49="",$J49="",$J49=0),"",$K49+$J49)</f>
        <v/>
      </c>
      <c r="M49" s="29"/>
      <c r="N49" s="33"/>
      <c r="O49" s="33"/>
      <c r="P49" s="35" t="str">
        <f aca="false">IFERROR(INDEX(Parametros!$D$13:$D$16,MATCH($F49,Parametros!$B$13:$B$16,0)),"")</f>
        <v/>
      </c>
      <c r="Q49" s="30" t="str">
        <f aca="false">IF($F49="","",IF($F49="D","NAO","SIM"))</f>
        <v/>
      </c>
      <c r="R49" s="35" t="n">
        <f aca="false">IF(AND($M49="VERIFICADO",$Q49="SIM"),$P49,0)</f>
        <v>0</v>
      </c>
    </row>
    <row r="50" customFormat="false" ht="15" hidden="false" customHeight="false" outlineLevel="0" collapsed="false">
      <c r="A50" s="29"/>
      <c r="B50" s="29"/>
      <c r="C50" s="29"/>
      <c r="D50" s="29"/>
      <c r="E50" s="29"/>
      <c r="F50" s="30" t="str">
        <f aca="false">IFERROR(INDEX(Catalogo!$C$2:$C$29,MATCH($E50,Catalogo!$B$2:$B$29,0)),"")</f>
        <v/>
      </c>
      <c r="G50" s="11" t="str">
        <f aca="false">IFERROR(INDEX(Catalogo!$D$2:$D$29,MATCH($E50,Catalogo!$B$2:$B$29,0)),"")</f>
        <v/>
      </c>
      <c r="H50" s="11" t="str">
        <f aca="false">IFERROR(INDEX(Catalogo!$E$2:$E$29,MATCH($E50,Catalogo!$B$2:$B$29,0)),"")</f>
        <v/>
      </c>
      <c r="I50" s="31" t="str">
        <f aca="false">IFERROR(INDEX(Parametros!$C$13:$C$16,MATCH($F50,Parametros!$B$13:$B$16,0)),"")</f>
        <v/>
      </c>
      <c r="J50" s="36" t="str">
        <f aca="false">IFERROR(INDEX(Parametros!$E$13:$E$16,MATCH($F50,Parametros!$B$13:$B$16,0)),"")</f>
        <v/>
      </c>
      <c r="K50" s="33"/>
      <c r="L50" s="34" t="str">
        <f aca="false">IF(OR($K50="",$J50="",$J50=0),"",$K50+$J50)</f>
        <v/>
      </c>
      <c r="M50" s="29"/>
      <c r="N50" s="33"/>
      <c r="O50" s="33"/>
      <c r="P50" s="35" t="str">
        <f aca="false">IFERROR(INDEX(Parametros!$D$13:$D$16,MATCH($F50,Parametros!$B$13:$B$16,0)),"")</f>
        <v/>
      </c>
      <c r="Q50" s="30" t="str">
        <f aca="false">IF($F50="","",IF($F50="D","NAO","SIM"))</f>
        <v/>
      </c>
      <c r="R50" s="35" t="n">
        <f aca="false">IF(AND($M50="VERIFICADO",$Q50="SIM"),$P50,0)</f>
        <v>0</v>
      </c>
    </row>
    <row r="51" customFormat="false" ht="15" hidden="false" customHeight="false" outlineLevel="0" collapsed="false">
      <c r="A51" s="29"/>
      <c r="B51" s="29"/>
      <c r="C51" s="29"/>
      <c r="D51" s="29"/>
      <c r="E51" s="29"/>
      <c r="F51" s="30" t="str">
        <f aca="false">IFERROR(INDEX(Catalogo!$C$2:$C$29,MATCH($E51,Catalogo!$B$2:$B$29,0)),"")</f>
        <v/>
      </c>
      <c r="G51" s="11" t="str">
        <f aca="false">IFERROR(INDEX(Catalogo!$D$2:$D$29,MATCH($E51,Catalogo!$B$2:$B$29,0)),"")</f>
        <v/>
      </c>
      <c r="H51" s="11" t="str">
        <f aca="false">IFERROR(INDEX(Catalogo!$E$2:$E$29,MATCH($E51,Catalogo!$B$2:$B$29,0)),"")</f>
        <v/>
      </c>
      <c r="I51" s="31" t="str">
        <f aca="false">IFERROR(INDEX(Parametros!$C$13:$C$16,MATCH($F51,Parametros!$B$13:$B$16,0)),"")</f>
        <v/>
      </c>
      <c r="J51" s="36" t="str">
        <f aca="false">IFERROR(INDEX(Parametros!$E$13:$E$16,MATCH($F51,Parametros!$B$13:$B$16,0)),"")</f>
        <v/>
      </c>
      <c r="K51" s="33"/>
      <c r="L51" s="34" t="str">
        <f aca="false">IF(OR($K51="",$J51="",$J51=0),"",$K51+$J51)</f>
        <v/>
      </c>
      <c r="M51" s="29"/>
      <c r="N51" s="33"/>
      <c r="O51" s="33"/>
      <c r="P51" s="35" t="str">
        <f aca="false">IFERROR(INDEX(Parametros!$D$13:$D$16,MATCH($F51,Parametros!$B$13:$B$16,0)),"")</f>
        <v/>
      </c>
      <c r="Q51" s="30" t="str">
        <f aca="false">IF($F51="","",IF($F51="D","NAO","SIM"))</f>
        <v/>
      </c>
      <c r="R51" s="35" t="n">
        <f aca="false">IF(AND($M51="VERIFICADO",$Q51="SIM"),$P51,0)</f>
        <v>0</v>
      </c>
    </row>
    <row r="52" customFormat="false" ht="15" hidden="false" customHeight="false" outlineLevel="0" collapsed="false">
      <c r="A52" s="29"/>
      <c r="B52" s="29"/>
      <c r="C52" s="29"/>
      <c r="D52" s="29"/>
      <c r="E52" s="29"/>
      <c r="F52" s="30" t="str">
        <f aca="false">IFERROR(INDEX(Catalogo!$C$2:$C$29,MATCH($E52,Catalogo!$B$2:$B$29,0)),"")</f>
        <v/>
      </c>
      <c r="G52" s="11" t="str">
        <f aca="false">IFERROR(INDEX(Catalogo!$D$2:$D$29,MATCH($E52,Catalogo!$B$2:$B$29,0)),"")</f>
        <v/>
      </c>
      <c r="H52" s="11" t="str">
        <f aca="false">IFERROR(INDEX(Catalogo!$E$2:$E$29,MATCH($E52,Catalogo!$B$2:$B$29,0)),"")</f>
        <v/>
      </c>
      <c r="I52" s="31" t="str">
        <f aca="false">IFERROR(INDEX(Parametros!$C$13:$C$16,MATCH($F52,Parametros!$B$13:$B$16,0)),"")</f>
        <v/>
      </c>
      <c r="J52" s="36" t="str">
        <f aca="false">IFERROR(INDEX(Parametros!$E$13:$E$16,MATCH($F52,Parametros!$B$13:$B$16,0)),"")</f>
        <v/>
      </c>
      <c r="K52" s="33"/>
      <c r="L52" s="34" t="str">
        <f aca="false">IF(OR($K52="",$J52="",$J52=0),"",$K52+$J52)</f>
        <v/>
      </c>
      <c r="M52" s="29"/>
      <c r="N52" s="33"/>
      <c r="O52" s="33"/>
      <c r="P52" s="35" t="str">
        <f aca="false">IFERROR(INDEX(Parametros!$D$13:$D$16,MATCH($F52,Parametros!$B$13:$B$16,0)),"")</f>
        <v/>
      </c>
      <c r="Q52" s="30" t="str">
        <f aca="false">IF($F52="","",IF($F52="D","NAO","SIM"))</f>
        <v/>
      </c>
      <c r="R52" s="35" t="n">
        <f aca="false">IF(AND($M52="VERIFICADO",$Q52="SIM"),$P52,0)</f>
        <v>0</v>
      </c>
    </row>
    <row r="53" customFormat="false" ht="15" hidden="false" customHeight="false" outlineLevel="0" collapsed="false">
      <c r="A53" s="29"/>
      <c r="B53" s="29"/>
      <c r="C53" s="29"/>
      <c r="D53" s="29"/>
      <c r="E53" s="29"/>
      <c r="F53" s="30" t="str">
        <f aca="false">IFERROR(INDEX(Catalogo!$C$2:$C$29,MATCH($E53,Catalogo!$B$2:$B$29,0)),"")</f>
        <v/>
      </c>
      <c r="G53" s="11" t="str">
        <f aca="false">IFERROR(INDEX(Catalogo!$D$2:$D$29,MATCH($E53,Catalogo!$B$2:$B$29,0)),"")</f>
        <v/>
      </c>
      <c r="H53" s="11" t="str">
        <f aca="false">IFERROR(INDEX(Catalogo!$E$2:$E$29,MATCH($E53,Catalogo!$B$2:$B$29,0)),"")</f>
        <v/>
      </c>
      <c r="I53" s="31" t="str">
        <f aca="false">IFERROR(INDEX(Parametros!$C$13:$C$16,MATCH($F53,Parametros!$B$13:$B$16,0)),"")</f>
        <v/>
      </c>
      <c r="J53" s="36" t="str">
        <f aca="false">IFERROR(INDEX(Parametros!$E$13:$E$16,MATCH($F53,Parametros!$B$13:$B$16,0)),"")</f>
        <v/>
      </c>
      <c r="K53" s="33"/>
      <c r="L53" s="34" t="str">
        <f aca="false">IF(OR($K53="",$J53="",$J53=0),"",$K53+$J53)</f>
        <v/>
      </c>
      <c r="M53" s="29"/>
      <c r="N53" s="33"/>
      <c r="O53" s="33"/>
      <c r="P53" s="35" t="str">
        <f aca="false">IFERROR(INDEX(Parametros!$D$13:$D$16,MATCH($F53,Parametros!$B$13:$B$16,0)),"")</f>
        <v/>
      </c>
      <c r="Q53" s="30" t="str">
        <f aca="false">IF($F53="","",IF($F53="D","NAO","SIM"))</f>
        <v/>
      </c>
      <c r="R53" s="35" t="n">
        <f aca="false">IF(AND($M53="VERIFICADO",$Q53="SIM"),$P53,0)</f>
        <v>0</v>
      </c>
    </row>
    <row r="54" customFormat="false" ht="15" hidden="false" customHeight="false" outlineLevel="0" collapsed="false">
      <c r="A54" s="29"/>
      <c r="B54" s="29"/>
      <c r="C54" s="29"/>
      <c r="D54" s="29"/>
      <c r="E54" s="29"/>
      <c r="F54" s="30" t="str">
        <f aca="false">IFERROR(INDEX(Catalogo!$C$2:$C$29,MATCH($E54,Catalogo!$B$2:$B$29,0)),"")</f>
        <v/>
      </c>
      <c r="G54" s="11" t="str">
        <f aca="false">IFERROR(INDEX(Catalogo!$D$2:$D$29,MATCH($E54,Catalogo!$B$2:$B$29,0)),"")</f>
        <v/>
      </c>
      <c r="H54" s="11" t="str">
        <f aca="false">IFERROR(INDEX(Catalogo!$E$2:$E$29,MATCH($E54,Catalogo!$B$2:$B$29,0)),"")</f>
        <v/>
      </c>
      <c r="I54" s="31" t="str">
        <f aca="false">IFERROR(INDEX(Parametros!$C$13:$C$16,MATCH($F54,Parametros!$B$13:$B$16,0)),"")</f>
        <v/>
      </c>
      <c r="J54" s="36" t="str">
        <f aca="false">IFERROR(INDEX(Parametros!$E$13:$E$16,MATCH($F54,Parametros!$B$13:$B$16,0)),"")</f>
        <v/>
      </c>
      <c r="K54" s="33"/>
      <c r="L54" s="34" t="str">
        <f aca="false">IF(OR($K54="",$J54="",$J54=0),"",$K54+$J54)</f>
        <v/>
      </c>
      <c r="M54" s="29"/>
      <c r="N54" s="33"/>
      <c r="O54" s="33"/>
      <c r="P54" s="35" t="str">
        <f aca="false">IFERROR(INDEX(Parametros!$D$13:$D$16,MATCH($F54,Parametros!$B$13:$B$16,0)),"")</f>
        <v/>
      </c>
      <c r="Q54" s="30" t="str">
        <f aca="false">IF($F54="","",IF($F54="D","NAO","SIM"))</f>
        <v/>
      </c>
      <c r="R54" s="35" t="n">
        <f aca="false">IF(AND($M54="VERIFICADO",$Q54="SIM"),$P54,0)</f>
        <v>0</v>
      </c>
    </row>
    <row r="55" customFormat="false" ht="15" hidden="false" customHeight="false" outlineLevel="0" collapsed="false">
      <c r="A55" s="29"/>
      <c r="B55" s="29"/>
      <c r="C55" s="29"/>
      <c r="D55" s="29"/>
      <c r="E55" s="29"/>
      <c r="F55" s="30" t="str">
        <f aca="false">IFERROR(INDEX(Catalogo!$C$2:$C$29,MATCH($E55,Catalogo!$B$2:$B$29,0)),"")</f>
        <v/>
      </c>
      <c r="G55" s="11" t="str">
        <f aca="false">IFERROR(INDEX(Catalogo!$D$2:$D$29,MATCH($E55,Catalogo!$B$2:$B$29,0)),"")</f>
        <v/>
      </c>
      <c r="H55" s="11" t="str">
        <f aca="false">IFERROR(INDEX(Catalogo!$E$2:$E$29,MATCH($E55,Catalogo!$B$2:$B$29,0)),"")</f>
        <v/>
      </c>
      <c r="I55" s="31" t="str">
        <f aca="false">IFERROR(INDEX(Parametros!$C$13:$C$16,MATCH($F55,Parametros!$B$13:$B$16,0)),"")</f>
        <v/>
      </c>
      <c r="J55" s="36" t="str">
        <f aca="false">IFERROR(INDEX(Parametros!$E$13:$E$16,MATCH($F55,Parametros!$B$13:$B$16,0)),"")</f>
        <v/>
      </c>
      <c r="K55" s="33"/>
      <c r="L55" s="34" t="str">
        <f aca="false">IF(OR($K55="",$J55="",$J55=0),"",$K55+$J55)</f>
        <v/>
      </c>
      <c r="M55" s="29"/>
      <c r="N55" s="33"/>
      <c r="O55" s="33"/>
      <c r="P55" s="35" t="str">
        <f aca="false">IFERROR(INDEX(Parametros!$D$13:$D$16,MATCH($F55,Parametros!$B$13:$B$16,0)),"")</f>
        <v/>
      </c>
      <c r="Q55" s="30" t="str">
        <f aca="false">IF($F55="","",IF($F55="D","NAO","SIM"))</f>
        <v/>
      </c>
      <c r="R55" s="35" t="n">
        <f aca="false">IF(AND($M55="VERIFICADO",$Q55="SIM"),$P55,0)</f>
        <v>0</v>
      </c>
    </row>
    <row r="56" customFormat="false" ht="15" hidden="false" customHeight="false" outlineLevel="0" collapsed="false">
      <c r="A56" s="29"/>
      <c r="B56" s="29"/>
      <c r="C56" s="29"/>
      <c r="D56" s="29"/>
      <c r="E56" s="29"/>
      <c r="F56" s="30" t="str">
        <f aca="false">IFERROR(INDEX(Catalogo!$C$2:$C$29,MATCH($E56,Catalogo!$B$2:$B$29,0)),"")</f>
        <v/>
      </c>
      <c r="G56" s="11" t="str">
        <f aca="false">IFERROR(INDEX(Catalogo!$D$2:$D$29,MATCH($E56,Catalogo!$B$2:$B$29,0)),"")</f>
        <v/>
      </c>
      <c r="H56" s="11" t="str">
        <f aca="false">IFERROR(INDEX(Catalogo!$E$2:$E$29,MATCH($E56,Catalogo!$B$2:$B$29,0)),"")</f>
        <v/>
      </c>
      <c r="I56" s="31" t="str">
        <f aca="false">IFERROR(INDEX(Parametros!$C$13:$C$16,MATCH($F56,Parametros!$B$13:$B$16,0)),"")</f>
        <v/>
      </c>
      <c r="J56" s="36" t="str">
        <f aca="false">IFERROR(INDEX(Parametros!$E$13:$E$16,MATCH($F56,Parametros!$B$13:$B$16,0)),"")</f>
        <v/>
      </c>
      <c r="K56" s="33"/>
      <c r="L56" s="34" t="str">
        <f aca="false">IF(OR($K56="",$J56="",$J56=0),"",$K56+$J56)</f>
        <v/>
      </c>
      <c r="M56" s="29"/>
      <c r="N56" s="33"/>
      <c r="O56" s="33"/>
      <c r="P56" s="35" t="str">
        <f aca="false">IFERROR(INDEX(Parametros!$D$13:$D$16,MATCH($F56,Parametros!$B$13:$B$16,0)),"")</f>
        <v/>
      </c>
      <c r="Q56" s="30" t="str">
        <f aca="false">IF($F56="","",IF($F56="D","NAO","SIM"))</f>
        <v/>
      </c>
      <c r="R56" s="35" t="n">
        <f aca="false">IF(AND($M56="VERIFICADO",$Q56="SIM"),$P56,0)</f>
        <v>0</v>
      </c>
    </row>
    <row r="57" customFormat="false" ht="15" hidden="false" customHeight="false" outlineLevel="0" collapsed="false">
      <c r="A57" s="29"/>
      <c r="B57" s="29"/>
      <c r="C57" s="29"/>
      <c r="D57" s="29"/>
      <c r="E57" s="29"/>
      <c r="F57" s="30" t="str">
        <f aca="false">IFERROR(INDEX(Catalogo!$C$2:$C$29,MATCH($E57,Catalogo!$B$2:$B$29,0)),"")</f>
        <v/>
      </c>
      <c r="G57" s="11" t="str">
        <f aca="false">IFERROR(INDEX(Catalogo!$D$2:$D$29,MATCH($E57,Catalogo!$B$2:$B$29,0)),"")</f>
        <v/>
      </c>
      <c r="H57" s="11" t="str">
        <f aca="false">IFERROR(INDEX(Catalogo!$E$2:$E$29,MATCH($E57,Catalogo!$B$2:$B$29,0)),"")</f>
        <v/>
      </c>
      <c r="I57" s="31" t="str">
        <f aca="false">IFERROR(INDEX(Parametros!$C$13:$C$16,MATCH($F57,Parametros!$B$13:$B$16,0)),"")</f>
        <v/>
      </c>
      <c r="J57" s="36" t="str">
        <f aca="false">IFERROR(INDEX(Parametros!$E$13:$E$16,MATCH($F57,Parametros!$B$13:$B$16,0)),"")</f>
        <v/>
      </c>
      <c r="K57" s="33"/>
      <c r="L57" s="34" t="str">
        <f aca="false">IF(OR($K57="",$J57="",$J57=0),"",$K57+$J57)</f>
        <v/>
      </c>
      <c r="M57" s="29"/>
      <c r="N57" s="33"/>
      <c r="O57" s="33"/>
      <c r="P57" s="35" t="str">
        <f aca="false">IFERROR(INDEX(Parametros!$D$13:$D$16,MATCH($F57,Parametros!$B$13:$B$16,0)),"")</f>
        <v/>
      </c>
      <c r="Q57" s="30" t="str">
        <f aca="false">IF($F57="","",IF($F57="D","NAO","SIM"))</f>
        <v/>
      </c>
      <c r="R57" s="35" t="n">
        <f aca="false">IF(AND($M57="VERIFICADO",$Q57="SIM"),$P57,0)</f>
        <v>0</v>
      </c>
    </row>
    <row r="58" customFormat="false" ht="15" hidden="false" customHeight="false" outlineLevel="0" collapsed="false">
      <c r="A58" s="29"/>
      <c r="B58" s="29"/>
      <c r="C58" s="29"/>
      <c r="D58" s="29"/>
      <c r="E58" s="29"/>
      <c r="F58" s="30" t="str">
        <f aca="false">IFERROR(INDEX(Catalogo!$C$2:$C$29,MATCH($E58,Catalogo!$B$2:$B$29,0)),"")</f>
        <v/>
      </c>
      <c r="G58" s="11" t="str">
        <f aca="false">IFERROR(INDEX(Catalogo!$D$2:$D$29,MATCH($E58,Catalogo!$B$2:$B$29,0)),"")</f>
        <v/>
      </c>
      <c r="H58" s="11" t="str">
        <f aca="false">IFERROR(INDEX(Catalogo!$E$2:$E$29,MATCH($E58,Catalogo!$B$2:$B$29,0)),"")</f>
        <v/>
      </c>
      <c r="I58" s="31" t="str">
        <f aca="false">IFERROR(INDEX(Parametros!$C$13:$C$16,MATCH($F58,Parametros!$B$13:$B$16,0)),"")</f>
        <v/>
      </c>
      <c r="J58" s="36" t="str">
        <f aca="false">IFERROR(INDEX(Parametros!$E$13:$E$16,MATCH($F58,Parametros!$B$13:$B$16,0)),"")</f>
        <v/>
      </c>
      <c r="K58" s="33"/>
      <c r="L58" s="34" t="str">
        <f aca="false">IF(OR($K58="",$J58="",$J58=0),"",$K58+$J58)</f>
        <v/>
      </c>
      <c r="M58" s="29"/>
      <c r="N58" s="33"/>
      <c r="O58" s="33"/>
      <c r="P58" s="35" t="str">
        <f aca="false">IFERROR(INDEX(Parametros!$D$13:$D$16,MATCH($F58,Parametros!$B$13:$B$16,0)),"")</f>
        <v/>
      </c>
      <c r="Q58" s="30" t="str">
        <f aca="false">IF($F58="","",IF($F58="D","NAO","SIM"))</f>
        <v/>
      </c>
      <c r="R58" s="35" t="n">
        <f aca="false">IF(AND($M58="VERIFICADO",$Q58="SIM"),$P58,0)</f>
        <v>0</v>
      </c>
    </row>
    <row r="59" customFormat="false" ht="15" hidden="false" customHeight="false" outlineLevel="0" collapsed="false">
      <c r="A59" s="29"/>
      <c r="B59" s="29"/>
      <c r="C59" s="29"/>
      <c r="D59" s="29"/>
      <c r="E59" s="29"/>
      <c r="F59" s="30" t="str">
        <f aca="false">IFERROR(INDEX(Catalogo!$C$2:$C$29,MATCH($E59,Catalogo!$B$2:$B$29,0)),"")</f>
        <v/>
      </c>
      <c r="G59" s="11" t="str">
        <f aca="false">IFERROR(INDEX(Catalogo!$D$2:$D$29,MATCH($E59,Catalogo!$B$2:$B$29,0)),"")</f>
        <v/>
      </c>
      <c r="H59" s="11" t="str">
        <f aca="false">IFERROR(INDEX(Catalogo!$E$2:$E$29,MATCH($E59,Catalogo!$B$2:$B$29,0)),"")</f>
        <v/>
      </c>
      <c r="I59" s="31" t="str">
        <f aca="false">IFERROR(INDEX(Parametros!$C$13:$C$16,MATCH($F59,Parametros!$B$13:$B$16,0)),"")</f>
        <v/>
      </c>
      <c r="J59" s="36" t="str">
        <f aca="false">IFERROR(INDEX(Parametros!$E$13:$E$16,MATCH($F59,Parametros!$B$13:$B$16,0)),"")</f>
        <v/>
      </c>
      <c r="K59" s="33"/>
      <c r="L59" s="34" t="str">
        <f aca="false">IF(OR($K59="",$J59="",$J59=0),"",$K59+$J59)</f>
        <v/>
      </c>
      <c r="M59" s="29"/>
      <c r="N59" s="33"/>
      <c r="O59" s="33"/>
      <c r="P59" s="35" t="str">
        <f aca="false">IFERROR(INDEX(Parametros!$D$13:$D$16,MATCH($F59,Parametros!$B$13:$B$16,0)),"")</f>
        <v/>
      </c>
      <c r="Q59" s="30" t="str">
        <f aca="false">IF($F59="","",IF($F59="D","NAO","SIM"))</f>
        <v/>
      </c>
      <c r="R59" s="35" t="n">
        <f aca="false">IF(AND($M59="VERIFICADO",$Q59="SIM"),$P59,0)</f>
        <v>0</v>
      </c>
    </row>
    <row r="60" customFormat="false" ht="15" hidden="false" customHeight="false" outlineLevel="0" collapsed="false">
      <c r="A60" s="29"/>
      <c r="B60" s="29"/>
      <c r="C60" s="29"/>
      <c r="D60" s="29"/>
      <c r="E60" s="29"/>
      <c r="F60" s="30" t="str">
        <f aca="false">IFERROR(INDEX(Catalogo!$C$2:$C$29,MATCH($E60,Catalogo!$B$2:$B$29,0)),"")</f>
        <v/>
      </c>
      <c r="G60" s="11" t="str">
        <f aca="false">IFERROR(INDEX(Catalogo!$D$2:$D$29,MATCH($E60,Catalogo!$B$2:$B$29,0)),"")</f>
        <v/>
      </c>
      <c r="H60" s="11" t="str">
        <f aca="false">IFERROR(INDEX(Catalogo!$E$2:$E$29,MATCH($E60,Catalogo!$B$2:$B$29,0)),"")</f>
        <v/>
      </c>
      <c r="I60" s="31" t="str">
        <f aca="false">IFERROR(INDEX(Parametros!$C$13:$C$16,MATCH($F60,Parametros!$B$13:$B$16,0)),"")</f>
        <v/>
      </c>
      <c r="J60" s="36" t="str">
        <f aca="false">IFERROR(INDEX(Parametros!$E$13:$E$16,MATCH($F60,Parametros!$B$13:$B$16,0)),"")</f>
        <v/>
      </c>
      <c r="K60" s="33"/>
      <c r="L60" s="34" t="str">
        <f aca="false">IF(OR($K60="",$J60="",$J60=0),"",$K60+$J60)</f>
        <v/>
      </c>
      <c r="M60" s="29"/>
      <c r="N60" s="33"/>
      <c r="O60" s="33"/>
      <c r="P60" s="35" t="str">
        <f aca="false">IFERROR(INDEX(Parametros!$D$13:$D$16,MATCH($F60,Parametros!$B$13:$B$16,0)),"")</f>
        <v/>
      </c>
      <c r="Q60" s="30" t="str">
        <f aca="false">IF($F60="","",IF($F60="D","NAO","SIM"))</f>
        <v/>
      </c>
      <c r="R60" s="35" t="n">
        <f aca="false">IF(AND($M60="VERIFICADO",$Q60="SIM"),$P60,0)</f>
        <v>0</v>
      </c>
    </row>
    <row r="61" customFormat="false" ht="15" hidden="false" customHeight="false" outlineLevel="0" collapsed="false">
      <c r="A61" s="29"/>
      <c r="B61" s="29"/>
      <c r="C61" s="29"/>
      <c r="D61" s="29"/>
      <c r="E61" s="29"/>
      <c r="F61" s="30" t="str">
        <f aca="false">IFERROR(INDEX(Catalogo!$C$2:$C$29,MATCH($E61,Catalogo!$B$2:$B$29,0)),"")</f>
        <v/>
      </c>
      <c r="G61" s="11" t="str">
        <f aca="false">IFERROR(INDEX(Catalogo!$D$2:$D$29,MATCH($E61,Catalogo!$B$2:$B$29,0)),"")</f>
        <v/>
      </c>
      <c r="H61" s="11" t="str">
        <f aca="false">IFERROR(INDEX(Catalogo!$E$2:$E$29,MATCH($E61,Catalogo!$B$2:$B$29,0)),"")</f>
        <v/>
      </c>
      <c r="I61" s="31" t="str">
        <f aca="false">IFERROR(INDEX(Parametros!$C$13:$C$16,MATCH($F61,Parametros!$B$13:$B$16,0)),"")</f>
        <v/>
      </c>
      <c r="J61" s="36" t="str">
        <f aca="false">IFERROR(INDEX(Parametros!$E$13:$E$16,MATCH($F61,Parametros!$B$13:$B$16,0)),"")</f>
        <v/>
      </c>
      <c r="K61" s="33"/>
      <c r="L61" s="34" t="str">
        <f aca="false">IF(OR($K61="",$J61="",$J61=0),"",$K61+$J61)</f>
        <v/>
      </c>
      <c r="M61" s="29"/>
      <c r="N61" s="33"/>
      <c r="O61" s="33"/>
      <c r="P61" s="35" t="str">
        <f aca="false">IFERROR(INDEX(Parametros!$D$13:$D$16,MATCH($F61,Parametros!$B$13:$B$16,0)),"")</f>
        <v/>
      </c>
      <c r="Q61" s="30" t="str">
        <f aca="false">IF($F61="","",IF($F61="D","NAO","SIM"))</f>
        <v/>
      </c>
      <c r="R61" s="35" t="n">
        <f aca="false">IF(AND($M61="VERIFICADO",$Q61="SIM"),$P61,0)</f>
        <v>0</v>
      </c>
    </row>
    <row r="62" customFormat="false" ht="15" hidden="false" customHeight="false" outlineLevel="0" collapsed="false">
      <c r="A62" s="29"/>
      <c r="B62" s="29"/>
      <c r="C62" s="29"/>
      <c r="D62" s="29"/>
      <c r="E62" s="29"/>
      <c r="F62" s="30" t="str">
        <f aca="false">IFERROR(INDEX(Catalogo!$C$2:$C$29,MATCH($E62,Catalogo!$B$2:$B$29,0)),"")</f>
        <v/>
      </c>
      <c r="G62" s="11" t="str">
        <f aca="false">IFERROR(INDEX(Catalogo!$D$2:$D$29,MATCH($E62,Catalogo!$B$2:$B$29,0)),"")</f>
        <v/>
      </c>
      <c r="H62" s="11" t="str">
        <f aca="false">IFERROR(INDEX(Catalogo!$E$2:$E$29,MATCH($E62,Catalogo!$B$2:$B$29,0)),"")</f>
        <v/>
      </c>
      <c r="I62" s="31" t="str">
        <f aca="false">IFERROR(INDEX(Parametros!$C$13:$C$16,MATCH($F62,Parametros!$B$13:$B$16,0)),"")</f>
        <v/>
      </c>
      <c r="J62" s="36" t="str">
        <f aca="false">IFERROR(INDEX(Parametros!$E$13:$E$16,MATCH($F62,Parametros!$B$13:$B$16,0)),"")</f>
        <v/>
      </c>
      <c r="K62" s="33"/>
      <c r="L62" s="34" t="str">
        <f aca="false">IF(OR($K62="",$J62="",$J62=0),"",$K62+$J62)</f>
        <v/>
      </c>
      <c r="M62" s="29"/>
      <c r="N62" s="33"/>
      <c r="O62" s="33"/>
      <c r="P62" s="35" t="str">
        <f aca="false">IFERROR(INDEX(Parametros!$D$13:$D$16,MATCH($F62,Parametros!$B$13:$B$16,0)),"")</f>
        <v/>
      </c>
      <c r="Q62" s="30" t="str">
        <f aca="false">IF($F62="","",IF($F62="D","NAO","SIM"))</f>
        <v/>
      </c>
      <c r="R62" s="35" t="n">
        <f aca="false">IF(AND($M62="VERIFICADO",$Q62="SIM"),$P62,0)</f>
        <v>0</v>
      </c>
    </row>
    <row r="63" customFormat="false" ht="15" hidden="false" customHeight="false" outlineLevel="0" collapsed="false">
      <c r="A63" s="29"/>
      <c r="B63" s="29"/>
      <c r="C63" s="29"/>
      <c r="D63" s="29"/>
      <c r="E63" s="29"/>
      <c r="F63" s="30" t="str">
        <f aca="false">IFERROR(INDEX(Catalogo!$C$2:$C$29,MATCH($E63,Catalogo!$B$2:$B$29,0)),"")</f>
        <v/>
      </c>
      <c r="G63" s="11" t="str">
        <f aca="false">IFERROR(INDEX(Catalogo!$D$2:$D$29,MATCH($E63,Catalogo!$B$2:$B$29,0)),"")</f>
        <v/>
      </c>
      <c r="H63" s="11" t="str">
        <f aca="false">IFERROR(INDEX(Catalogo!$E$2:$E$29,MATCH($E63,Catalogo!$B$2:$B$29,0)),"")</f>
        <v/>
      </c>
      <c r="I63" s="31" t="str">
        <f aca="false">IFERROR(INDEX(Parametros!$C$13:$C$16,MATCH($F63,Parametros!$B$13:$B$16,0)),"")</f>
        <v/>
      </c>
      <c r="J63" s="36" t="str">
        <f aca="false">IFERROR(INDEX(Parametros!$E$13:$E$16,MATCH($F63,Parametros!$B$13:$B$16,0)),"")</f>
        <v/>
      </c>
      <c r="K63" s="33"/>
      <c r="L63" s="34" t="str">
        <f aca="false">IF(OR($K63="",$J63="",$J63=0),"",$K63+$J63)</f>
        <v/>
      </c>
      <c r="M63" s="29"/>
      <c r="N63" s="33"/>
      <c r="O63" s="33"/>
      <c r="P63" s="35" t="str">
        <f aca="false">IFERROR(INDEX(Parametros!$D$13:$D$16,MATCH($F63,Parametros!$B$13:$B$16,0)),"")</f>
        <v/>
      </c>
      <c r="Q63" s="30" t="str">
        <f aca="false">IF($F63="","",IF($F63="D","NAO","SIM"))</f>
        <v/>
      </c>
      <c r="R63" s="35" t="n">
        <f aca="false">IF(AND($M63="VERIFICADO",$Q63="SIM"),$P63,0)</f>
        <v>0</v>
      </c>
    </row>
    <row r="64" customFormat="false" ht="15" hidden="false" customHeight="false" outlineLevel="0" collapsed="false">
      <c r="A64" s="29"/>
      <c r="B64" s="29"/>
      <c r="C64" s="29"/>
      <c r="D64" s="29"/>
      <c r="E64" s="29"/>
      <c r="F64" s="30" t="str">
        <f aca="false">IFERROR(INDEX(Catalogo!$C$2:$C$29,MATCH($E64,Catalogo!$B$2:$B$29,0)),"")</f>
        <v/>
      </c>
      <c r="G64" s="11" t="str">
        <f aca="false">IFERROR(INDEX(Catalogo!$D$2:$D$29,MATCH($E64,Catalogo!$B$2:$B$29,0)),"")</f>
        <v/>
      </c>
      <c r="H64" s="11" t="str">
        <f aca="false">IFERROR(INDEX(Catalogo!$E$2:$E$29,MATCH($E64,Catalogo!$B$2:$B$29,0)),"")</f>
        <v/>
      </c>
      <c r="I64" s="31" t="str">
        <f aca="false">IFERROR(INDEX(Parametros!$C$13:$C$16,MATCH($F64,Parametros!$B$13:$B$16,0)),"")</f>
        <v/>
      </c>
      <c r="J64" s="36" t="str">
        <f aca="false">IFERROR(INDEX(Parametros!$E$13:$E$16,MATCH($F64,Parametros!$B$13:$B$16,0)),"")</f>
        <v/>
      </c>
      <c r="K64" s="33"/>
      <c r="L64" s="34" t="str">
        <f aca="false">IF(OR($K64="",$J64="",$J64=0),"",$K64+$J64)</f>
        <v/>
      </c>
      <c r="M64" s="29"/>
      <c r="N64" s="33"/>
      <c r="O64" s="33"/>
      <c r="P64" s="35" t="str">
        <f aca="false">IFERROR(INDEX(Parametros!$D$13:$D$16,MATCH($F64,Parametros!$B$13:$B$16,0)),"")</f>
        <v/>
      </c>
      <c r="Q64" s="30" t="str">
        <f aca="false">IF($F64="","",IF($F64="D","NAO","SIM"))</f>
        <v/>
      </c>
      <c r="R64" s="35" t="n">
        <f aca="false">IF(AND($M64="VERIFICADO",$Q64="SIM"),$P64,0)</f>
        <v>0</v>
      </c>
    </row>
    <row r="65" customFormat="false" ht="15" hidden="false" customHeight="false" outlineLevel="0" collapsed="false">
      <c r="A65" s="29"/>
      <c r="B65" s="29"/>
      <c r="C65" s="29"/>
      <c r="D65" s="29"/>
      <c r="E65" s="29"/>
      <c r="F65" s="30" t="str">
        <f aca="false">IFERROR(INDEX(Catalogo!$C$2:$C$29,MATCH($E65,Catalogo!$B$2:$B$29,0)),"")</f>
        <v/>
      </c>
      <c r="G65" s="11" t="str">
        <f aca="false">IFERROR(INDEX(Catalogo!$D$2:$D$29,MATCH($E65,Catalogo!$B$2:$B$29,0)),"")</f>
        <v/>
      </c>
      <c r="H65" s="11" t="str">
        <f aca="false">IFERROR(INDEX(Catalogo!$E$2:$E$29,MATCH($E65,Catalogo!$B$2:$B$29,0)),"")</f>
        <v/>
      </c>
      <c r="I65" s="31" t="str">
        <f aca="false">IFERROR(INDEX(Parametros!$C$13:$C$16,MATCH($F65,Parametros!$B$13:$B$16,0)),"")</f>
        <v/>
      </c>
      <c r="J65" s="36" t="str">
        <f aca="false">IFERROR(INDEX(Parametros!$E$13:$E$16,MATCH($F65,Parametros!$B$13:$B$16,0)),"")</f>
        <v/>
      </c>
      <c r="K65" s="33"/>
      <c r="L65" s="34" t="str">
        <f aca="false">IF(OR($K65="",$J65="",$J65=0),"",$K65+$J65)</f>
        <v/>
      </c>
      <c r="M65" s="29"/>
      <c r="N65" s="33"/>
      <c r="O65" s="33"/>
      <c r="P65" s="35" t="str">
        <f aca="false">IFERROR(INDEX(Parametros!$D$13:$D$16,MATCH($F65,Parametros!$B$13:$B$16,0)),"")</f>
        <v/>
      </c>
      <c r="Q65" s="30" t="str">
        <f aca="false">IF($F65="","",IF($F65="D","NAO","SIM"))</f>
        <v/>
      </c>
      <c r="R65" s="35" t="n">
        <f aca="false">IF(AND($M65="VERIFICADO",$Q65="SIM"),$P65,0)</f>
        <v>0</v>
      </c>
    </row>
    <row r="66" customFormat="false" ht="15" hidden="false" customHeight="false" outlineLevel="0" collapsed="false">
      <c r="A66" s="29"/>
      <c r="B66" s="29"/>
      <c r="C66" s="29"/>
      <c r="D66" s="29"/>
      <c r="E66" s="29"/>
      <c r="F66" s="30" t="str">
        <f aca="false">IFERROR(INDEX(Catalogo!$C$2:$C$29,MATCH($E66,Catalogo!$B$2:$B$29,0)),"")</f>
        <v/>
      </c>
      <c r="G66" s="11" t="str">
        <f aca="false">IFERROR(INDEX(Catalogo!$D$2:$D$29,MATCH($E66,Catalogo!$B$2:$B$29,0)),"")</f>
        <v/>
      </c>
      <c r="H66" s="11" t="str">
        <f aca="false">IFERROR(INDEX(Catalogo!$E$2:$E$29,MATCH($E66,Catalogo!$B$2:$B$29,0)),"")</f>
        <v/>
      </c>
      <c r="I66" s="31" t="str">
        <f aca="false">IFERROR(INDEX(Parametros!$C$13:$C$16,MATCH($F66,Parametros!$B$13:$B$16,0)),"")</f>
        <v/>
      </c>
      <c r="J66" s="36" t="str">
        <f aca="false">IFERROR(INDEX(Parametros!$E$13:$E$16,MATCH($F66,Parametros!$B$13:$B$16,0)),"")</f>
        <v/>
      </c>
      <c r="K66" s="33"/>
      <c r="L66" s="34" t="str">
        <f aca="false">IF(OR($K66="",$J66="",$J66=0),"",$K66+$J66)</f>
        <v/>
      </c>
      <c r="M66" s="29"/>
      <c r="N66" s="33"/>
      <c r="O66" s="33"/>
      <c r="P66" s="35" t="str">
        <f aca="false">IFERROR(INDEX(Parametros!$D$13:$D$16,MATCH($F66,Parametros!$B$13:$B$16,0)),"")</f>
        <v/>
      </c>
      <c r="Q66" s="30" t="str">
        <f aca="false">IF($F66="","",IF($F66="D","NAO","SIM"))</f>
        <v/>
      </c>
      <c r="R66" s="35" t="n">
        <f aca="false">IF(AND($M66="VERIFICADO",$Q66="SIM"),$P66,0)</f>
        <v>0</v>
      </c>
    </row>
    <row r="67" customFormat="false" ht="15" hidden="false" customHeight="false" outlineLevel="0" collapsed="false">
      <c r="A67" s="29"/>
      <c r="B67" s="29"/>
      <c r="C67" s="29"/>
      <c r="D67" s="29"/>
      <c r="E67" s="29"/>
      <c r="F67" s="30" t="str">
        <f aca="false">IFERROR(INDEX(Catalogo!$C$2:$C$29,MATCH($E67,Catalogo!$B$2:$B$29,0)),"")</f>
        <v/>
      </c>
      <c r="G67" s="11" t="str">
        <f aca="false">IFERROR(INDEX(Catalogo!$D$2:$D$29,MATCH($E67,Catalogo!$B$2:$B$29,0)),"")</f>
        <v/>
      </c>
      <c r="H67" s="11" t="str">
        <f aca="false">IFERROR(INDEX(Catalogo!$E$2:$E$29,MATCH($E67,Catalogo!$B$2:$B$29,0)),"")</f>
        <v/>
      </c>
      <c r="I67" s="31" t="str">
        <f aca="false">IFERROR(INDEX(Parametros!$C$13:$C$16,MATCH($F67,Parametros!$B$13:$B$16,0)),"")</f>
        <v/>
      </c>
      <c r="J67" s="36" t="str">
        <f aca="false">IFERROR(INDEX(Parametros!$E$13:$E$16,MATCH($F67,Parametros!$B$13:$B$16,0)),"")</f>
        <v/>
      </c>
      <c r="K67" s="33"/>
      <c r="L67" s="34" t="str">
        <f aca="false">IF(OR($K67="",$J67="",$J67=0),"",$K67+$J67)</f>
        <v/>
      </c>
      <c r="M67" s="29"/>
      <c r="N67" s="33"/>
      <c r="O67" s="33"/>
      <c r="P67" s="35" t="str">
        <f aca="false">IFERROR(INDEX(Parametros!$D$13:$D$16,MATCH($F67,Parametros!$B$13:$B$16,0)),"")</f>
        <v/>
      </c>
      <c r="Q67" s="30" t="str">
        <f aca="false">IF($F67="","",IF($F67="D","NAO","SIM"))</f>
        <v/>
      </c>
      <c r="R67" s="35" t="n">
        <f aca="false">IF(AND($M67="VERIFICADO",$Q67="SIM"),$P67,0)</f>
        <v>0</v>
      </c>
    </row>
    <row r="68" customFormat="false" ht="15" hidden="false" customHeight="false" outlineLevel="0" collapsed="false">
      <c r="A68" s="29"/>
      <c r="B68" s="29"/>
      <c r="C68" s="29"/>
      <c r="D68" s="29"/>
      <c r="E68" s="29"/>
      <c r="F68" s="30" t="str">
        <f aca="false">IFERROR(INDEX(Catalogo!$C$2:$C$29,MATCH($E68,Catalogo!$B$2:$B$29,0)),"")</f>
        <v/>
      </c>
      <c r="G68" s="11" t="str">
        <f aca="false">IFERROR(INDEX(Catalogo!$D$2:$D$29,MATCH($E68,Catalogo!$B$2:$B$29,0)),"")</f>
        <v/>
      </c>
      <c r="H68" s="11" t="str">
        <f aca="false">IFERROR(INDEX(Catalogo!$E$2:$E$29,MATCH($E68,Catalogo!$B$2:$B$29,0)),"")</f>
        <v/>
      </c>
      <c r="I68" s="31" t="str">
        <f aca="false">IFERROR(INDEX(Parametros!$C$13:$C$16,MATCH($F68,Parametros!$B$13:$B$16,0)),"")</f>
        <v/>
      </c>
      <c r="J68" s="36" t="str">
        <f aca="false">IFERROR(INDEX(Parametros!$E$13:$E$16,MATCH($F68,Parametros!$B$13:$B$16,0)),"")</f>
        <v/>
      </c>
      <c r="K68" s="33"/>
      <c r="L68" s="34" t="str">
        <f aca="false">IF(OR($K68="",$J68="",$J68=0),"",$K68+$J68)</f>
        <v/>
      </c>
      <c r="M68" s="29"/>
      <c r="N68" s="33"/>
      <c r="O68" s="33"/>
      <c r="P68" s="35" t="str">
        <f aca="false">IFERROR(INDEX(Parametros!$D$13:$D$16,MATCH($F68,Parametros!$B$13:$B$16,0)),"")</f>
        <v/>
      </c>
      <c r="Q68" s="30" t="str">
        <f aca="false">IF($F68="","",IF($F68="D","NAO","SIM"))</f>
        <v/>
      </c>
      <c r="R68" s="35" t="n">
        <f aca="false">IF(AND($M68="VERIFICADO",$Q68="SIM"),$P68,0)</f>
        <v>0</v>
      </c>
    </row>
    <row r="69" customFormat="false" ht="15" hidden="false" customHeight="false" outlineLevel="0" collapsed="false">
      <c r="A69" s="29"/>
      <c r="B69" s="29"/>
      <c r="C69" s="29"/>
      <c r="D69" s="29"/>
      <c r="E69" s="29"/>
      <c r="F69" s="30" t="str">
        <f aca="false">IFERROR(INDEX(Catalogo!$C$2:$C$29,MATCH($E69,Catalogo!$B$2:$B$29,0)),"")</f>
        <v/>
      </c>
      <c r="G69" s="11" t="str">
        <f aca="false">IFERROR(INDEX(Catalogo!$D$2:$D$29,MATCH($E69,Catalogo!$B$2:$B$29,0)),"")</f>
        <v/>
      </c>
      <c r="H69" s="11" t="str">
        <f aca="false">IFERROR(INDEX(Catalogo!$E$2:$E$29,MATCH($E69,Catalogo!$B$2:$B$29,0)),"")</f>
        <v/>
      </c>
      <c r="I69" s="31" t="str">
        <f aca="false">IFERROR(INDEX(Parametros!$C$13:$C$16,MATCH($F69,Parametros!$B$13:$B$16,0)),"")</f>
        <v/>
      </c>
      <c r="J69" s="36" t="str">
        <f aca="false">IFERROR(INDEX(Parametros!$E$13:$E$16,MATCH($F69,Parametros!$B$13:$B$16,0)),"")</f>
        <v/>
      </c>
      <c r="K69" s="33"/>
      <c r="L69" s="34" t="str">
        <f aca="false">IF(OR($K69="",$J69="",$J69=0),"",$K69+$J69)</f>
        <v/>
      </c>
      <c r="M69" s="29"/>
      <c r="N69" s="33"/>
      <c r="O69" s="33"/>
      <c r="P69" s="35" t="str">
        <f aca="false">IFERROR(INDEX(Parametros!$D$13:$D$16,MATCH($F69,Parametros!$B$13:$B$16,0)),"")</f>
        <v/>
      </c>
      <c r="Q69" s="30" t="str">
        <f aca="false">IF($F69="","",IF($F69="D","NAO","SIM"))</f>
        <v/>
      </c>
      <c r="R69" s="35" t="n">
        <f aca="false">IF(AND($M69="VERIFICADO",$Q69="SIM"),$P69,0)</f>
        <v>0</v>
      </c>
    </row>
    <row r="70" customFormat="false" ht="15" hidden="false" customHeight="false" outlineLevel="0" collapsed="false">
      <c r="A70" s="29"/>
      <c r="B70" s="29"/>
      <c r="C70" s="29"/>
      <c r="D70" s="29"/>
      <c r="E70" s="29"/>
      <c r="F70" s="30" t="str">
        <f aca="false">IFERROR(INDEX(Catalogo!$C$2:$C$29,MATCH($E70,Catalogo!$B$2:$B$29,0)),"")</f>
        <v/>
      </c>
      <c r="G70" s="11" t="str">
        <f aca="false">IFERROR(INDEX(Catalogo!$D$2:$D$29,MATCH($E70,Catalogo!$B$2:$B$29,0)),"")</f>
        <v/>
      </c>
      <c r="H70" s="11" t="str">
        <f aca="false">IFERROR(INDEX(Catalogo!$E$2:$E$29,MATCH($E70,Catalogo!$B$2:$B$29,0)),"")</f>
        <v/>
      </c>
      <c r="I70" s="31" t="str">
        <f aca="false">IFERROR(INDEX(Parametros!$C$13:$C$16,MATCH($F70,Parametros!$B$13:$B$16,0)),"")</f>
        <v/>
      </c>
      <c r="J70" s="36" t="str">
        <f aca="false">IFERROR(INDEX(Parametros!$E$13:$E$16,MATCH($F70,Parametros!$B$13:$B$16,0)),"")</f>
        <v/>
      </c>
      <c r="K70" s="33"/>
      <c r="L70" s="34" t="str">
        <f aca="false">IF(OR($K70="",$J70="",$J70=0),"",$K70+$J70)</f>
        <v/>
      </c>
      <c r="M70" s="29"/>
      <c r="N70" s="33"/>
      <c r="O70" s="33"/>
      <c r="P70" s="35" t="str">
        <f aca="false">IFERROR(INDEX(Parametros!$D$13:$D$16,MATCH($F70,Parametros!$B$13:$B$16,0)),"")</f>
        <v/>
      </c>
      <c r="Q70" s="30" t="str">
        <f aca="false">IF($F70="","",IF($F70="D","NAO","SIM"))</f>
        <v/>
      </c>
      <c r="R70" s="35" t="n">
        <f aca="false">IF(AND($M70="VERIFICADO",$Q70="SIM"),$P70,0)</f>
        <v>0</v>
      </c>
    </row>
    <row r="71" customFormat="false" ht="15" hidden="false" customHeight="false" outlineLevel="0" collapsed="false">
      <c r="A71" s="29"/>
      <c r="B71" s="29"/>
      <c r="C71" s="29"/>
      <c r="D71" s="29"/>
      <c r="E71" s="29"/>
      <c r="F71" s="30" t="str">
        <f aca="false">IFERROR(INDEX(Catalogo!$C$2:$C$29,MATCH($E71,Catalogo!$B$2:$B$29,0)),"")</f>
        <v/>
      </c>
      <c r="G71" s="11" t="str">
        <f aca="false">IFERROR(INDEX(Catalogo!$D$2:$D$29,MATCH($E71,Catalogo!$B$2:$B$29,0)),"")</f>
        <v/>
      </c>
      <c r="H71" s="11" t="str">
        <f aca="false">IFERROR(INDEX(Catalogo!$E$2:$E$29,MATCH($E71,Catalogo!$B$2:$B$29,0)),"")</f>
        <v/>
      </c>
      <c r="I71" s="31" t="str">
        <f aca="false">IFERROR(INDEX(Parametros!$C$13:$C$16,MATCH($F71,Parametros!$B$13:$B$16,0)),"")</f>
        <v/>
      </c>
      <c r="J71" s="36" t="str">
        <f aca="false">IFERROR(INDEX(Parametros!$E$13:$E$16,MATCH($F71,Parametros!$B$13:$B$16,0)),"")</f>
        <v/>
      </c>
      <c r="K71" s="33"/>
      <c r="L71" s="34" t="str">
        <f aca="false">IF(OR($K71="",$J71="",$J71=0),"",$K71+$J71)</f>
        <v/>
      </c>
      <c r="M71" s="29"/>
      <c r="N71" s="33"/>
      <c r="O71" s="33"/>
      <c r="P71" s="35" t="str">
        <f aca="false">IFERROR(INDEX(Parametros!$D$13:$D$16,MATCH($F71,Parametros!$B$13:$B$16,0)),"")</f>
        <v/>
      </c>
      <c r="Q71" s="30" t="str">
        <f aca="false">IF($F71="","",IF($F71="D","NAO","SIM"))</f>
        <v/>
      </c>
      <c r="R71" s="35" t="n">
        <f aca="false">IF(AND($M71="VERIFICADO",$Q71="SIM"),$P71,0)</f>
        <v>0</v>
      </c>
    </row>
    <row r="72" customFormat="false" ht="15" hidden="false" customHeight="false" outlineLevel="0" collapsed="false">
      <c r="A72" s="29"/>
      <c r="B72" s="29"/>
      <c r="C72" s="29"/>
      <c r="D72" s="29"/>
      <c r="E72" s="29"/>
      <c r="F72" s="30" t="str">
        <f aca="false">IFERROR(INDEX(Catalogo!$C$2:$C$29,MATCH($E72,Catalogo!$B$2:$B$29,0)),"")</f>
        <v/>
      </c>
      <c r="G72" s="11" t="str">
        <f aca="false">IFERROR(INDEX(Catalogo!$D$2:$D$29,MATCH($E72,Catalogo!$B$2:$B$29,0)),"")</f>
        <v/>
      </c>
      <c r="H72" s="11" t="str">
        <f aca="false">IFERROR(INDEX(Catalogo!$E$2:$E$29,MATCH($E72,Catalogo!$B$2:$B$29,0)),"")</f>
        <v/>
      </c>
      <c r="I72" s="31" t="str">
        <f aca="false">IFERROR(INDEX(Parametros!$C$13:$C$16,MATCH($F72,Parametros!$B$13:$B$16,0)),"")</f>
        <v/>
      </c>
      <c r="J72" s="36" t="str">
        <f aca="false">IFERROR(INDEX(Parametros!$E$13:$E$16,MATCH($F72,Parametros!$B$13:$B$16,0)),"")</f>
        <v/>
      </c>
      <c r="K72" s="33"/>
      <c r="L72" s="34" t="str">
        <f aca="false">IF(OR($K72="",$J72="",$J72=0),"",$K72+$J72)</f>
        <v/>
      </c>
      <c r="M72" s="29"/>
      <c r="N72" s="33"/>
      <c r="O72" s="33"/>
      <c r="P72" s="35" t="str">
        <f aca="false">IFERROR(INDEX(Parametros!$D$13:$D$16,MATCH($F72,Parametros!$B$13:$B$16,0)),"")</f>
        <v/>
      </c>
      <c r="Q72" s="30" t="str">
        <f aca="false">IF($F72="","",IF($F72="D","NAO","SIM"))</f>
        <v/>
      </c>
      <c r="R72" s="35" t="n">
        <f aca="false">IF(AND($M72="VERIFICADO",$Q72="SIM"),$P72,0)</f>
        <v>0</v>
      </c>
    </row>
    <row r="73" customFormat="false" ht="15" hidden="false" customHeight="false" outlineLevel="0" collapsed="false">
      <c r="A73" s="29"/>
      <c r="B73" s="29"/>
      <c r="C73" s="29"/>
      <c r="D73" s="29"/>
      <c r="E73" s="29"/>
      <c r="F73" s="30" t="str">
        <f aca="false">IFERROR(INDEX(Catalogo!$C$2:$C$29,MATCH($E73,Catalogo!$B$2:$B$29,0)),"")</f>
        <v/>
      </c>
      <c r="G73" s="11" t="str">
        <f aca="false">IFERROR(INDEX(Catalogo!$D$2:$D$29,MATCH($E73,Catalogo!$B$2:$B$29,0)),"")</f>
        <v/>
      </c>
      <c r="H73" s="11" t="str">
        <f aca="false">IFERROR(INDEX(Catalogo!$E$2:$E$29,MATCH($E73,Catalogo!$B$2:$B$29,0)),"")</f>
        <v/>
      </c>
      <c r="I73" s="31" t="str">
        <f aca="false">IFERROR(INDEX(Parametros!$C$13:$C$16,MATCH($F73,Parametros!$B$13:$B$16,0)),"")</f>
        <v/>
      </c>
      <c r="J73" s="36" t="str">
        <f aca="false">IFERROR(INDEX(Parametros!$E$13:$E$16,MATCH($F73,Parametros!$B$13:$B$16,0)),"")</f>
        <v/>
      </c>
      <c r="K73" s="33"/>
      <c r="L73" s="34" t="str">
        <f aca="false">IF(OR($K73="",$J73="",$J73=0),"",$K73+$J73)</f>
        <v/>
      </c>
      <c r="M73" s="29"/>
      <c r="N73" s="33"/>
      <c r="O73" s="33"/>
      <c r="P73" s="35" t="str">
        <f aca="false">IFERROR(INDEX(Parametros!$D$13:$D$16,MATCH($F73,Parametros!$B$13:$B$16,0)),"")</f>
        <v/>
      </c>
      <c r="Q73" s="30" t="str">
        <f aca="false">IF($F73="","",IF($F73="D","NAO","SIM"))</f>
        <v/>
      </c>
      <c r="R73" s="35" t="n">
        <f aca="false">IF(AND($M73="VERIFICADO",$Q73="SIM"),$P73,0)</f>
        <v>0</v>
      </c>
    </row>
    <row r="74" customFormat="false" ht="15" hidden="false" customHeight="false" outlineLevel="0" collapsed="false">
      <c r="A74" s="29"/>
      <c r="B74" s="29"/>
      <c r="C74" s="29"/>
      <c r="D74" s="29"/>
      <c r="E74" s="29"/>
      <c r="F74" s="30" t="str">
        <f aca="false">IFERROR(INDEX(Catalogo!$C$2:$C$29,MATCH($E74,Catalogo!$B$2:$B$29,0)),"")</f>
        <v/>
      </c>
      <c r="G74" s="11" t="str">
        <f aca="false">IFERROR(INDEX(Catalogo!$D$2:$D$29,MATCH($E74,Catalogo!$B$2:$B$29,0)),"")</f>
        <v/>
      </c>
      <c r="H74" s="11" t="str">
        <f aca="false">IFERROR(INDEX(Catalogo!$E$2:$E$29,MATCH($E74,Catalogo!$B$2:$B$29,0)),"")</f>
        <v/>
      </c>
      <c r="I74" s="31" t="str">
        <f aca="false">IFERROR(INDEX(Parametros!$C$13:$C$16,MATCH($F74,Parametros!$B$13:$B$16,0)),"")</f>
        <v/>
      </c>
      <c r="J74" s="36" t="str">
        <f aca="false">IFERROR(INDEX(Parametros!$E$13:$E$16,MATCH($F74,Parametros!$B$13:$B$16,0)),"")</f>
        <v/>
      </c>
      <c r="K74" s="33"/>
      <c r="L74" s="34" t="str">
        <f aca="false">IF(OR($K74="",$J74="",$J74=0),"",$K74+$J74)</f>
        <v/>
      </c>
      <c r="M74" s="29"/>
      <c r="N74" s="33"/>
      <c r="O74" s="33"/>
      <c r="P74" s="35" t="str">
        <f aca="false">IFERROR(INDEX(Parametros!$D$13:$D$16,MATCH($F74,Parametros!$B$13:$B$16,0)),"")</f>
        <v/>
      </c>
      <c r="Q74" s="30" t="str">
        <f aca="false">IF($F74="","",IF($F74="D","NAO","SIM"))</f>
        <v/>
      </c>
      <c r="R74" s="35" t="n">
        <f aca="false">IF(AND($M74="VERIFICADO",$Q74="SIM"),$P74,0)</f>
        <v>0</v>
      </c>
    </row>
    <row r="75" customFormat="false" ht="15" hidden="false" customHeight="false" outlineLevel="0" collapsed="false">
      <c r="A75" s="29"/>
      <c r="B75" s="29"/>
      <c r="C75" s="29"/>
      <c r="D75" s="29"/>
      <c r="E75" s="29"/>
      <c r="F75" s="30" t="str">
        <f aca="false">IFERROR(INDEX(Catalogo!$C$2:$C$29,MATCH($E75,Catalogo!$B$2:$B$29,0)),"")</f>
        <v/>
      </c>
      <c r="G75" s="11" t="str">
        <f aca="false">IFERROR(INDEX(Catalogo!$D$2:$D$29,MATCH($E75,Catalogo!$B$2:$B$29,0)),"")</f>
        <v/>
      </c>
      <c r="H75" s="11" t="str">
        <f aca="false">IFERROR(INDEX(Catalogo!$E$2:$E$29,MATCH($E75,Catalogo!$B$2:$B$29,0)),"")</f>
        <v/>
      </c>
      <c r="I75" s="31" t="str">
        <f aca="false">IFERROR(INDEX(Parametros!$C$13:$C$16,MATCH($F75,Parametros!$B$13:$B$16,0)),"")</f>
        <v/>
      </c>
      <c r="J75" s="36" t="str">
        <f aca="false">IFERROR(INDEX(Parametros!$E$13:$E$16,MATCH($F75,Parametros!$B$13:$B$16,0)),"")</f>
        <v/>
      </c>
      <c r="K75" s="33"/>
      <c r="L75" s="34" t="str">
        <f aca="false">IF(OR($K75="",$J75="",$J75=0),"",$K75+$J75)</f>
        <v/>
      </c>
      <c r="M75" s="29"/>
      <c r="N75" s="33"/>
      <c r="O75" s="33"/>
      <c r="P75" s="35" t="str">
        <f aca="false">IFERROR(INDEX(Parametros!$D$13:$D$16,MATCH($F75,Parametros!$B$13:$B$16,0)),"")</f>
        <v/>
      </c>
      <c r="Q75" s="30" t="str">
        <f aca="false">IF($F75="","",IF($F75="D","NAO","SIM"))</f>
        <v/>
      </c>
      <c r="R75" s="35" t="n">
        <f aca="false">IF(AND($M75="VERIFICADO",$Q75="SIM"),$P75,0)</f>
        <v>0</v>
      </c>
    </row>
    <row r="76" customFormat="false" ht="15" hidden="false" customHeight="false" outlineLevel="0" collapsed="false">
      <c r="A76" s="29"/>
      <c r="B76" s="29"/>
      <c r="C76" s="29"/>
      <c r="D76" s="29"/>
      <c r="E76" s="29"/>
      <c r="F76" s="30" t="str">
        <f aca="false">IFERROR(INDEX(Catalogo!$C$2:$C$29,MATCH($E76,Catalogo!$B$2:$B$29,0)),"")</f>
        <v/>
      </c>
      <c r="G76" s="11" t="str">
        <f aca="false">IFERROR(INDEX(Catalogo!$D$2:$D$29,MATCH($E76,Catalogo!$B$2:$B$29,0)),"")</f>
        <v/>
      </c>
      <c r="H76" s="11" t="str">
        <f aca="false">IFERROR(INDEX(Catalogo!$E$2:$E$29,MATCH($E76,Catalogo!$B$2:$B$29,0)),"")</f>
        <v/>
      </c>
      <c r="I76" s="31" t="str">
        <f aca="false">IFERROR(INDEX(Parametros!$C$13:$C$16,MATCH($F76,Parametros!$B$13:$B$16,0)),"")</f>
        <v/>
      </c>
      <c r="J76" s="36" t="str">
        <f aca="false">IFERROR(INDEX(Parametros!$E$13:$E$16,MATCH($F76,Parametros!$B$13:$B$16,0)),"")</f>
        <v/>
      </c>
      <c r="K76" s="33"/>
      <c r="L76" s="34" t="str">
        <f aca="false">IF(OR($K76="",$J76="",$J76=0),"",$K76+$J76)</f>
        <v/>
      </c>
      <c r="M76" s="29"/>
      <c r="N76" s="33"/>
      <c r="O76" s="33"/>
      <c r="P76" s="35" t="str">
        <f aca="false">IFERROR(INDEX(Parametros!$D$13:$D$16,MATCH($F76,Parametros!$B$13:$B$16,0)),"")</f>
        <v/>
      </c>
      <c r="Q76" s="30" t="str">
        <f aca="false">IF($F76="","",IF($F76="D","NAO","SIM"))</f>
        <v/>
      </c>
      <c r="R76" s="35" t="n">
        <f aca="false">IF(AND($M76="VERIFICADO",$Q76="SIM"),$P76,0)</f>
        <v>0</v>
      </c>
    </row>
    <row r="77" customFormat="false" ht="15" hidden="false" customHeight="false" outlineLevel="0" collapsed="false">
      <c r="A77" s="29"/>
      <c r="B77" s="29"/>
      <c r="C77" s="29"/>
      <c r="D77" s="29"/>
      <c r="E77" s="29"/>
      <c r="F77" s="30" t="str">
        <f aca="false">IFERROR(INDEX(Catalogo!$C$2:$C$29,MATCH($E77,Catalogo!$B$2:$B$29,0)),"")</f>
        <v/>
      </c>
      <c r="G77" s="11" t="str">
        <f aca="false">IFERROR(INDEX(Catalogo!$D$2:$D$29,MATCH($E77,Catalogo!$B$2:$B$29,0)),"")</f>
        <v/>
      </c>
      <c r="H77" s="11" t="str">
        <f aca="false">IFERROR(INDEX(Catalogo!$E$2:$E$29,MATCH($E77,Catalogo!$B$2:$B$29,0)),"")</f>
        <v/>
      </c>
      <c r="I77" s="31" t="str">
        <f aca="false">IFERROR(INDEX(Parametros!$C$13:$C$16,MATCH($F77,Parametros!$B$13:$B$16,0)),"")</f>
        <v/>
      </c>
      <c r="J77" s="36" t="str">
        <f aca="false">IFERROR(INDEX(Parametros!$E$13:$E$16,MATCH($F77,Parametros!$B$13:$B$16,0)),"")</f>
        <v/>
      </c>
      <c r="K77" s="33"/>
      <c r="L77" s="34" t="str">
        <f aca="false">IF(OR($K77="",$J77="",$J77=0),"",$K77+$J77)</f>
        <v/>
      </c>
      <c r="M77" s="29"/>
      <c r="N77" s="33"/>
      <c r="O77" s="33"/>
      <c r="P77" s="35" t="str">
        <f aca="false">IFERROR(INDEX(Parametros!$D$13:$D$16,MATCH($F77,Parametros!$B$13:$B$16,0)),"")</f>
        <v/>
      </c>
      <c r="Q77" s="30" t="str">
        <f aca="false">IF($F77="","",IF($F77="D","NAO","SIM"))</f>
        <v/>
      </c>
      <c r="R77" s="35" t="n">
        <f aca="false">IF(AND($M77="VERIFICADO",$Q77="SIM"),$P77,0)</f>
        <v>0</v>
      </c>
    </row>
    <row r="78" customFormat="false" ht="15" hidden="false" customHeight="false" outlineLevel="0" collapsed="false">
      <c r="A78" s="29"/>
      <c r="B78" s="29"/>
      <c r="C78" s="29"/>
      <c r="D78" s="29"/>
      <c r="E78" s="29"/>
      <c r="F78" s="30" t="str">
        <f aca="false">IFERROR(INDEX(Catalogo!$C$2:$C$29,MATCH($E78,Catalogo!$B$2:$B$29,0)),"")</f>
        <v/>
      </c>
      <c r="G78" s="11" t="str">
        <f aca="false">IFERROR(INDEX(Catalogo!$D$2:$D$29,MATCH($E78,Catalogo!$B$2:$B$29,0)),"")</f>
        <v/>
      </c>
      <c r="H78" s="11" t="str">
        <f aca="false">IFERROR(INDEX(Catalogo!$E$2:$E$29,MATCH($E78,Catalogo!$B$2:$B$29,0)),"")</f>
        <v/>
      </c>
      <c r="I78" s="31" t="str">
        <f aca="false">IFERROR(INDEX(Parametros!$C$13:$C$16,MATCH($F78,Parametros!$B$13:$B$16,0)),"")</f>
        <v/>
      </c>
      <c r="J78" s="36" t="str">
        <f aca="false">IFERROR(INDEX(Parametros!$E$13:$E$16,MATCH($F78,Parametros!$B$13:$B$16,0)),"")</f>
        <v/>
      </c>
      <c r="K78" s="33"/>
      <c r="L78" s="34" t="str">
        <f aca="false">IF(OR($K78="",$J78="",$J78=0),"",$K78+$J78)</f>
        <v/>
      </c>
      <c r="M78" s="29"/>
      <c r="N78" s="33"/>
      <c r="O78" s="33"/>
      <c r="P78" s="35" t="str">
        <f aca="false">IFERROR(INDEX(Parametros!$D$13:$D$16,MATCH($F78,Parametros!$B$13:$B$16,0)),"")</f>
        <v/>
      </c>
      <c r="Q78" s="30" t="str">
        <f aca="false">IF($F78="","",IF($F78="D","NAO","SIM"))</f>
        <v/>
      </c>
      <c r="R78" s="35" t="n">
        <f aca="false">IF(AND($M78="VERIFICADO",$Q78="SIM"),$P78,0)</f>
        <v>0</v>
      </c>
    </row>
    <row r="79" customFormat="false" ht="15" hidden="false" customHeight="false" outlineLevel="0" collapsed="false">
      <c r="A79" s="29"/>
      <c r="B79" s="29"/>
      <c r="C79" s="29"/>
      <c r="D79" s="29"/>
      <c r="E79" s="29"/>
      <c r="F79" s="30" t="str">
        <f aca="false">IFERROR(INDEX(Catalogo!$C$2:$C$29,MATCH($E79,Catalogo!$B$2:$B$29,0)),"")</f>
        <v/>
      </c>
      <c r="G79" s="11" t="str">
        <f aca="false">IFERROR(INDEX(Catalogo!$D$2:$D$29,MATCH($E79,Catalogo!$B$2:$B$29,0)),"")</f>
        <v/>
      </c>
      <c r="H79" s="11" t="str">
        <f aca="false">IFERROR(INDEX(Catalogo!$E$2:$E$29,MATCH($E79,Catalogo!$B$2:$B$29,0)),"")</f>
        <v/>
      </c>
      <c r="I79" s="31" t="str">
        <f aca="false">IFERROR(INDEX(Parametros!$C$13:$C$16,MATCH($F79,Parametros!$B$13:$B$16,0)),"")</f>
        <v/>
      </c>
      <c r="J79" s="36" t="str">
        <f aca="false">IFERROR(INDEX(Parametros!$E$13:$E$16,MATCH($F79,Parametros!$B$13:$B$16,0)),"")</f>
        <v/>
      </c>
      <c r="K79" s="33"/>
      <c r="L79" s="34" t="str">
        <f aca="false">IF(OR($K79="",$J79="",$J79=0),"",$K79+$J79)</f>
        <v/>
      </c>
      <c r="M79" s="29"/>
      <c r="N79" s="33"/>
      <c r="O79" s="33"/>
      <c r="P79" s="35" t="str">
        <f aca="false">IFERROR(INDEX(Parametros!$D$13:$D$16,MATCH($F79,Parametros!$B$13:$B$16,0)),"")</f>
        <v/>
      </c>
      <c r="Q79" s="30" t="str">
        <f aca="false">IF($F79="","",IF($F79="D","NAO","SIM"))</f>
        <v/>
      </c>
      <c r="R79" s="35" t="n">
        <f aca="false">IF(AND($M79="VERIFICADO",$Q79="SIM"),$P79,0)</f>
        <v>0</v>
      </c>
    </row>
    <row r="80" customFormat="false" ht="15" hidden="false" customHeight="false" outlineLevel="0" collapsed="false">
      <c r="A80" s="29"/>
      <c r="B80" s="29"/>
      <c r="C80" s="29"/>
      <c r="D80" s="29"/>
      <c r="E80" s="29"/>
      <c r="F80" s="30" t="str">
        <f aca="false">IFERROR(INDEX(Catalogo!$C$2:$C$29,MATCH($E80,Catalogo!$B$2:$B$29,0)),"")</f>
        <v/>
      </c>
      <c r="G80" s="11" t="str">
        <f aca="false">IFERROR(INDEX(Catalogo!$D$2:$D$29,MATCH($E80,Catalogo!$B$2:$B$29,0)),"")</f>
        <v/>
      </c>
      <c r="H80" s="11" t="str">
        <f aca="false">IFERROR(INDEX(Catalogo!$E$2:$E$29,MATCH($E80,Catalogo!$B$2:$B$29,0)),"")</f>
        <v/>
      </c>
      <c r="I80" s="31" t="str">
        <f aca="false">IFERROR(INDEX(Parametros!$C$13:$C$16,MATCH($F80,Parametros!$B$13:$B$16,0)),"")</f>
        <v/>
      </c>
      <c r="J80" s="36" t="str">
        <f aca="false">IFERROR(INDEX(Parametros!$E$13:$E$16,MATCH($F80,Parametros!$B$13:$B$16,0)),"")</f>
        <v/>
      </c>
      <c r="K80" s="33"/>
      <c r="L80" s="34" t="str">
        <f aca="false">IF(OR($K80="",$J80="",$J80=0),"",$K80+$J80)</f>
        <v/>
      </c>
      <c r="M80" s="29"/>
      <c r="N80" s="33"/>
      <c r="O80" s="33"/>
      <c r="P80" s="35" t="str">
        <f aca="false">IFERROR(INDEX(Parametros!$D$13:$D$16,MATCH($F80,Parametros!$B$13:$B$16,0)),"")</f>
        <v/>
      </c>
      <c r="Q80" s="30" t="str">
        <f aca="false">IF($F80="","",IF($F80="D","NAO","SIM"))</f>
        <v/>
      </c>
      <c r="R80" s="35" t="n">
        <f aca="false">IF(AND($M80="VERIFICADO",$Q80="SIM"),$P80,0)</f>
        <v>0</v>
      </c>
    </row>
    <row r="81" customFormat="false" ht="15" hidden="false" customHeight="false" outlineLevel="0" collapsed="false">
      <c r="A81" s="29"/>
      <c r="B81" s="29"/>
      <c r="C81" s="29"/>
      <c r="D81" s="29"/>
      <c r="E81" s="29"/>
      <c r="F81" s="30" t="str">
        <f aca="false">IFERROR(INDEX(Catalogo!$C$2:$C$29,MATCH($E81,Catalogo!$B$2:$B$29,0)),"")</f>
        <v/>
      </c>
      <c r="G81" s="11" t="str">
        <f aca="false">IFERROR(INDEX(Catalogo!$D$2:$D$29,MATCH($E81,Catalogo!$B$2:$B$29,0)),"")</f>
        <v/>
      </c>
      <c r="H81" s="11" t="str">
        <f aca="false">IFERROR(INDEX(Catalogo!$E$2:$E$29,MATCH($E81,Catalogo!$B$2:$B$29,0)),"")</f>
        <v/>
      </c>
      <c r="I81" s="31" t="str">
        <f aca="false">IFERROR(INDEX(Parametros!$C$13:$C$16,MATCH($F81,Parametros!$B$13:$B$16,0)),"")</f>
        <v/>
      </c>
      <c r="J81" s="36" t="str">
        <f aca="false">IFERROR(INDEX(Parametros!$E$13:$E$16,MATCH($F81,Parametros!$B$13:$B$16,0)),"")</f>
        <v/>
      </c>
      <c r="K81" s="33"/>
      <c r="L81" s="34" t="str">
        <f aca="false">IF(OR($K81="",$J81="",$J81=0),"",$K81+$J81)</f>
        <v/>
      </c>
      <c r="M81" s="29"/>
      <c r="N81" s="33"/>
      <c r="O81" s="33"/>
      <c r="P81" s="35" t="str">
        <f aca="false">IFERROR(INDEX(Parametros!$D$13:$D$16,MATCH($F81,Parametros!$B$13:$B$16,0)),"")</f>
        <v/>
      </c>
      <c r="Q81" s="30" t="str">
        <f aca="false">IF($F81="","",IF($F81="D","NAO","SIM"))</f>
        <v/>
      </c>
      <c r="R81" s="35" t="n">
        <f aca="false">IF(AND($M81="VERIFICADO",$Q81="SIM"),$P81,0)</f>
        <v>0</v>
      </c>
    </row>
    <row r="82" customFormat="false" ht="15" hidden="false" customHeight="false" outlineLevel="0" collapsed="false">
      <c r="A82" s="29"/>
      <c r="B82" s="29"/>
      <c r="C82" s="29"/>
      <c r="D82" s="29"/>
      <c r="E82" s="29"/>
      <c r="F82" s="30" t="str">
        <f aca="false">IFERROR(INDEX(Catalogo!$C$2:$C$29,MATCH($E82,Catalogo!$B$2:$B$29,0)),"")</f>
        <v/>
      </c>
      <c r="G82" s="11" t="str">
        <f aca="false">IFERROR(INDEX(Catalogo!$D$2:$D$29,MATCH($E82,Catalogo!$B$2:$B$29,0)),"")</f>
        <v/>
      </c>
      <c r="H82" s="11" t="str">
        <f aca="false">IFERROR(INDEX(Catalogo!$E$2:$E$29,MATCH($E82,Catalogo!$B$2:$B$29,0)),"")</f>
        <v/>
      </c>
      <c r="I82" s="31" t="str">
        <f aca="false">IFERROR(INDEX(Parametros!$C$13:$C$16,MATCH($F82,Parametros!$B$13:$B$16,0)),"")</f>
        <v/>
      </c>
      <c r="J82" s="36" t="str">
        <f aca="false">IFERROR(INDEX(Parametros!$E$13:$E$16,MATCH($F82,Parametros!$B$13:$B$16,0)),"")</f>
        <v/>
      </c>
      <c r="K82" s="33"/>
      <c r="L82" s="34" t="str">
        <f aca="false">IF(OR($K82="",$J82="",$J82=0),"",$K82+$J82)</f>
        <v/>
      </c>
      <c r="M82" s="29"/>
      <c r="N82" s="33"/>
      <c r="O82" s="33"/>
      <c r="P82" s="35" t="str">
        <f aca="false">IFERROR(INDEX(Parametros!$D$13:$D$16,MATCH($F82,Parametros!$B$13:$B$16,0)),"")</f>
        <v/>
      </c>
      <c r="Q82" s="30" t="str">
        <f aca="false">IF($F82="","",IF($F82="D","NAO","SIM"))</f>
        <v/>
      </c>
      <c r="R82" s="35" t="n">
        <f aca="false">IF(AND($M82="VERIFICADO",$Q82="SIM"),$P82,0)</f>
        <v>0</v>
      </c>
    </row>
    <row r="83" customFormat="false" ht="15" hidden="false" customHeight="false" outlineLevel="0" collapsed="false">
      <c r="A83" s="29"/>
      <c r="B83" s="29"/>
      <c r="C83" s="29"/>
      <c r="D83" s="29"/>
      <c r="E83" s="29"/>
      <c r="F83" s="30" t="str">
        <f aca="false">IFERROR(INDEX(Catalogo!$C$2:$C$29,MATCH($E83,Catalogo!$B$2:$B$29,0)),"")</f>
        <v/>
      </c>
      <c r="G83" s="11" t="str">
        <f aca="false">IFERROR(INDEX(Catalogo!$D$2:$D$29,MATCH($E83,Catalogo!$B$2:$B$29,0)),"")</f>
        <v/>
      </c>
      <c r="H83" s="11" t="str">
        <f aca="false">IFERROR(INDEX(Catalogo!$E$2:$E$29,MATCH($E83,Catalogo!$B$2:$B$29,0)),"")</f>
        <v/>
      </c>
      <c r="I83" s="31" t="str">
        <f aca="false">IFERROR(INDEX(Parametros!$C$13:$C$16,MATCH($F83,Parametros!$B$13:$B$16,0)),"")</f>
        <v/>
      </c>
      <c r="J83" s="36" t="str">
        <f aca="false">IFERROR(INDEX(Parametros!$E$13:$E$16,MATCH($F83,Parametros!$B$13:$B$16,0)),"")</f>
        <v/>
      </c>
      <c r="K83" s="33"/>
      <c r="L83" s="34" t="str">
        <f aca="false">IF(OR($K83="",$J83="",$J83=0),"",$K83+$J83)</f>
        <v/>
      </c>
      <c r="M83" s="29"/>
      <c r="N83" s="33"/>
      <c r="O83" s="33"/>
      <c r="P83" s="35" t="str">
        <f aca="false">IFERROR(INDEX(Parametros!$D$13:$D$16,MATCH($F83,Parametros!$B$13:$B$16,0)),"")</f>
        <v/>
      </c>
      <c r="Q83" s="30" t="str">
        <f aca="false">IF($F83="","",IF($F83="D","NAO","SIM"))</f>
        <v/>
      </c>
      <c r="R83" s="35" t="n">
        <f aca="false">IF(AND($M83="VERIFICADO",$Q83="SIM"),$P83,0)</f>
        <v>0</v>
      </c>
    </row>
    <row r="84" customFormat="false" ht="15" hidden="false" customHeight="false" outlineLevel="0" collapsed="false">
      <c r="A84" s="29"/>
      <c r="B84" s="29"/>
      <c r="C84" s="29"/>
      <c r="D84" s="29"/>
      <c r="E84" s="29"/>
      <c r="F84" s="30" t="str">
        <f aca="false">IFERROR(INDEX(Catalogo!$C$2:$C$29,MATCH($E84,Catalogo!$B$2:$B$29,0)),"")</f>
        <v/>
      </c>
      <c r="G84" s="11" t="str">
        <f aca="false">IFERROR(INDEX(Catalogo!$D$2:$D$29,MATCH($E84,Catalogo!$B$2:$B$29,0)),"")</f>
        <v/>
      </c>
      <c r="H84" s="11" t="str">
        <f aca="false">IFERROR(INDEX(Catalogo!$E$2:$E$29,MATCH($E84,Catalogo!$B$2:$B$29,0)),"")</f>
        <v/>
      </c>
      <c r="I84" s="31" t="str">
        <f aca="false">IFERROR(INDEX(Parametros!$C$13:$C$16,MATCH($F84,Parametros!$B$13:$B$16,0)),"")</f>
        <v/>
      </c>
      <c r="J84" s="36" t="str">
        <f aca="false">IFERROR(INDEX(Parametros!$E$13:$E$16,MATCH($F84,Parametros!$B$13:$B$16,0)),"")</f>
        <v/>
      </c>
      <c r="K84" s="33"/>
      <c r="L84" s="34" t="str">
        <f aca="false">IF(OR($K84="",$J84="",$J84=0),"",$K84+$J84)</f>
        <v/>
      </c>
      <c r="M84" s="29"/>
      <c r="N84" s="33"/>
      <c r="O84" s="33"/>
      <c r="P84" s="35" t="str">
        <f aca="false">IFERROR(INDEX(Parametros!$D$13:$D$16,MATCH($F84,Parametros!$B$13:$B$16,0)),"")</f>
        <v/>
      </c>
      <c r="Q84" s="30" t="str">
        <f aca="false">IF($F84="","",IF($F84="D","NAO","SIM"))</f>
        <v/>
      </c>
      <c r="R84" s="35" t="n">
        <f aca="false">IF(AND($M84="VERIFICADO",$Q84="SIM"),$P84,0)</f>
        <v>0</v>
      </c>
    </row>
    <row r="85" customFormat="false" ht="15" hidden="false" customHeight="false" outlineLevel="0" collapsed="false">
      <c r="A85" s="29"/>
      <c r="B85" s="29"/>
      <c r="C85" s="29"/>
      <c r="D85" s="29"/>
      <c r="E85" s="29"/>
      <c r="F85" s="30" t="str">
        <f aca="false">IFERROR(INDEX(Catalogo!$C$2:$C$29,MATCH($E85,Catalogo!$B$2:$B$29,0)),"")</f>
        <v/>
      </c>
      <c r="G85" s="11" t="str">
        <f aca="false">IFERROR(INDEX(Catalogo!$D$2:$D$29,MATCH($E85,Catalogo!$B$2:$B$29,0)),"")</f>
        <v/>
      </c>
      <c r="H85" s="11" t="str">
        <f aca="false">IFERROR(INDEX(Catalogo!$E$2:$E$29,MATCH($E85,Catalogo!$B$2:$B$29,0)),"")</f>
        <v/>
      </c>
      <c r="I85" s="31" t="str">
        <f aca="false">IFERROR(INDEX(Parametros!$C$13:$C$16,MATCH($F85,Parametros!$B$13:$B$16,0)),"")</f>
        <v/>
      </c>
      <c r="J85" s="36" t="str">
        <f aca="false">IFERROR(INDEX(Parametros!$E$13:$E$16,MATCH($F85,Parametros!$B$13:$B$16,0)),"")</f>
        <v/>
      </c>
      <c r="K85" s="33"/>
      <c r="L85" s="34" t="str">
        <f aca="false">IF(OR($K85="",$J85="",$J85=0),"",$K85+$J85)</f>
        <v/>
      </c>
      <c r="M85" s="29"/>
      <c r="N85" s="33"/>
      <c r="O85" s="33"/>
      <c r="P85" s="35" t="str">
        <f aca="false">IFERROR(INDEX(Parametros!$D$13:$D$16,MATCH($F85,Parametros!$B$13:$B$16,0)),"")</f>
        <v/>
      </c>
      <c r="Q85" s="30" t="str">
        <f aca="false">IF($F85="","",IF($F85="D","NAO","SIM"))</f>
        <v/>
      </c>
      <c r="R85" s="35" t="n">
        <f aca="false">IF(AND($M85="VERIFICADO",$Q85="SIM"),$P85,0)</f>
        <v>0</v>
      </c>
    </row>
    <row r="86" customFormat="false" ht="15" hidden="false" customHeight="false" outlineLevel="0" collapsed="false">
      <c r="A86" s="29"/>
      <c r="B86" s="29"/>
      <c r="C86" s="29"/>
      <c r="D86" s="29"/>
      <c r="E86" s="29"/>
      <c r="F86" s="30" t="str">
        <f aca="false">IFERROR(INDEX(Catalogo!$C$2:$C$29,MATCH($E86,Catalogo!$B$2:$B$29,0)),"")</f>
        <v/>
      </c>
      <c r="G86" s="11" t="str">
        <f aca="false">IFERROR(INDEX(Catalogo!$D$2:$D$29,MATCH($E86,Catalogo!$B$2:$B$29,0)),"")</f>
        <v/>
      </c>
      <c r="H86" s="11" t="str">
        <f aca="false">IFERROR(INDEX(Catalogo!$E$2:$E$29,MATCH($E86,Catalogo!$B$2:$B$29,0)),"")</f>
        <v/>
      </c>
      <c r="I86" s="31" t="str">
        <f aca="false">IFERROR(INDEX(Parametros!$C$13:$C$16,MATCH($F86,Parametros!$B$13:$B$16,0)),"")</f>
        <v/>
      </c>
      <c r="J86" s="36" t="str">
        <f aca="false">IFERROR(INDEX(Parametros!$E$13:$E$16,MATCH($F86,Parametros!$B$13:$B$16,0)),"")</f>
        <v/>
      </c>
      <c r="K86" s="33"/>
      <c r="L86" s="34" t="str">
        <f aca="false">IF(OR($K86="",$J86="",$J86=0),"",$K86+$J86)</f>
        <v/>
      </c>
      <c r="M86" s="29"/>
      <c r="N86" s="33"/>
      <c r="O86" s="33"/>
      <c r="P86" s="35" t="str">
        <f aca="false">IFERROR(INDEX(Parametros!$D$13:$D$16,MATCH($F86,Parametros!$B$13:$B$16,0)),"")</f>
        <v/>
      </c>
      <c r="Q86" s="30" t="str">
        <f aca="false">IF($F86="","",IF($F86="D","NAO","SIM"))</f>
        <v/>
      </c>
      <c r="R86" s="35" t="n">
        <f aca="false">IF(AND($M86="VERIFICADO",$Q86="SIM"),$P86,0)</f>
        <v>0</v>
      </c>
    </row>
    <row r="87" customFormat="false" ht="15" hidden="false" customHeight="false" outlineLevel="0" collapsed="false">
      <c r="A87" s="29"/>
      <c r="B87" s="29"/>
      <c r="C87" s="29"/>
      <c r="D87" s="29"/>
      <c r="E87" s="29"/>
      <c r="F87" s="30" t="str">
        <f aca="false">IFERROR(INDEX(Catalogo!$C$2:$C$29,MATCH($E87,Catalogo!$B$2:$B$29,0)),"")</f>
        <v/>
      </c>
      <c r="G87" s="11" t="str">
        <f aca="false">IFERROR(INDEX(Catalogo!$D$2:$D$29,MATCH($E87,Catalogo!$B$2:$B$29,0)),"")</f>
        <v/>
      </c>
      <c r="H87" s="11" t="str">
        <f aca="false">IFERROR(INDEX(Catalogo!$E$2:$E$29,MATCH($E87,Catalogo!$B$2:$B$29,0)),"")</f>
        <v/>
      </c>
      <c r="I87" s="31" t="str">
        <f aca="false">IFERROR(INDEX(Parametros!$C$13:$C$16,MATCH($F87,Parametros!$B$13:$B$16,0)),"")</f>
        <v/>
      </c>
      <c r="J87" s="36" t="str">
        <f aca="false">IFERROR(INDEX(Parametros!$E$13:$E$16,MATCH($F87,Parametros!$B$13:$B$16,0)),"")</f>
        <v/>
      </c>
      <c r="K87" s="33"/>
      <c r="L87" s="34" t="str">
        <f aca="false">IF(OR($K87="",$J87="",$J87=0),"",$K87+$J87)</f>
        <v/>
      </c>
      <c r="M87" s="29"/>
      <c r="N87" s="33"/>
      <c r="O87" s="33"/>
      <c r="P87" s="35" t="str">
        <f aca="false">IFERROR(INDEX(Parametros!$D$13:$D$16,MATCH($F87,Parametros!$B$13:$B$16,0)),"")</f>
        <v/>
      </c>
      <c r="Q87" s="30" t="str">
        <f aca="false">IF($F87="","",IF($F87="D","NAO","SIM"))</f>
        <v/>
      </c>
      <c r="R87" s="35" t="n">
        <f aca="false">IF(AND($M87="VERIFICADO",$Q87="SIM"),$P87,0)</f>
        <v>0</v>
      </c>
    </row>
    <row r="88" customFormat="false" ht="15" hidden="false" customHeight="false" outlineLevel="0" collapsed="false">
      <c r="A88" s="29"/>
      <c r="B88" s="29"/>
      <c r="C88" s="29"/>
      <c r="D88" s="29"/>
      <c r="E88" s="29"/>
      <c r="F88" s="30" t="str">
        <f aca="false">IFERROR(INDEX(Catalogo!$C$2:$C$29,MATCH($E88,Catalogo!$B$2:$B$29,0)),"")</f>
        <v/>
      </c>
      <c r="G88" s="11" t="str">
        <f aca="false">IFERROR(INDEX(Catalogo!$D$2:$D$29,MATCH($E88,Catalogo!$B$2:$B$29,0)),"")</f>
        <v/>
      </c>
      <c r="H88" s="11" t="str">
        <f aca="false">IFERROR(INDEX(Catalogo!$E$2:$E$29,MATCH($E88,Catalogo!$B$2:$B$29,0)),"")</f>
        <v/>
      </c>
      <c r="I88" s="31" t="str">
        <f aca="false">IFERROR(INDEX(Parametros!$C$13:$C$16,MATCH($F88,Parametros!$B$13:$B$16,0)),"")</f>
        <v/>
      </c>
      <c r="J88" s="36" t="str">
        <f aca="false">IFERROR(INDEX(Parametros!$E$13:$E$16,MATCH($F88,Parametros!$B$13:$B$16,0)),"")</f>
        <v/>
      </c>
      <c r="K88" s="33"/>
      <c r="L88" s="34" t="str">
        <f aca="false">IF(OR($K88="",$J88="",$J88=0),"",$K88+$J88)</f>
        <v/>
      </c>
      <c r="M88" s="29"/>
      <c r="N88" s="33"/>
      <c r="O88" s="33"/>
      <c r="P88" s="35" t="str">
        <f aca="false">IFERROR(INDEX(Parametros!$D$13:$D$16,MATCH($F88,Parametros!$B$13:$B$16,0)),"")</f>
        <v/>
      </c>
      <c r="Q88" s="30" t="str">
        <f aca="false">IF($F88="","",IF($F88="D","NAO","SIM"))</f>
        <v/>
      </c>
      <c r="R88" s="35" t="n">
        <f aca="false">IF(AND($M88="VERIFICADO",$Q88="SIM"),$P88,0)</f>
        <v>0</v>
      </c>
    </row>
    <row r="89" customFormat="false" ht="15" hidden="false" customHeight="false" outlineLevel="0" collapsed="false">
      <c r="A89" s="29"/>
      <c r="B89" s="29"/>
      <c r="C89" s="29"/>
      <c r="D89" s="29"/>
      <c r="E89" s="29"/>
      <c r="F89" s="30" t="str">
        <f aca="false">IFERROR(INDEX(Catalogo!$C$2:$C$29,MATCH($E89,Catalogo!$B$2:$B$29,0)),"")</f>
        <v/>
      </c>
      <c r="G89" s="11" t="str">
        <f aca="false">IFERROR(INDEX(Catalogo!$D$2:$D$29,MATCH($E89,Catalogo!$B$2:$B$29,0)),"")</f>
        <v/>
      </c>
      <c r="H89" s="11" t="str">
        <f aca="false">IFERROR(INDEX(Catalogo!$E$2:$E$29,MATCH($E89,Catalogo!$B$2:$B$29,0)),"")</f>
        <v/>
      </c>
      <c r="I89" s="31" t="str">
        <f aca="false">IFERROR(INDEX(Parametros!$C$13:$C$16,MATCH($F89,Parametros!$B$13:$B$16,0)),"")</f>
        <v/>
      </c>
      <c r="J89" s="36" t="str">
        <f aca="false">IFERROR(INDEX(Parametros!$E$13:$E$16,MATCH($F89,Parametros!$B$13:$B$16,0)),"")</f>
        <v/>
      </c>
      <c r="K89" s="33"/>
      <c r="L89" s="34" t="str">
        <f aca="false">IF(OR($K89="",$J89="",$J89=0),"",$K89+$J89)</f>
        <v/>
      </c>
      <c r="M89" s="29"/>
      <c r="N89" s="33"/>
      <c r="O89" s="33"/>
      <c r="P89" s="35" t="str">
        <f aca="false">IFERROR(INDEX(Parametros!$D$13:$D$16,MATCH($F89,Parametros!$B$13:$B$16,0)),"")</f>
        <v/>
      </c>
      <c r="Q89" s="30" t="str">
        <f aca="false">IF($F89="","",IF($F89="D","NAO","SIM"))</f>
        <v/>
      </c>
      <c r="R89" s="35" t="n">
        <f aca="false">IF(AND($M89="VERIFICADO",$Q89="SIM"),$P89,0)</f>
        <v>0</v>
      </c>
    </row>
    <row r="90" customFormat="false" ht="15" hidden="false" customHeight="false" outlineLevel="0" collapsed="false">
      <c r="A90" s="29"/>
      <c r="B90" s="29"/>
      <c r="C90" s="29"/>
      <c r="D90" s="29"/>
      <c r="E90" s="29"/>
      <c r="F90" s="30" t="str">
        <f aca="false">IFERROR(INDEX(Catalogo!$C$2:$C$29,MATCH($E90,Catalogo!$B$2:$B$29,0)),"")</f>
        <v/>
      </c>
      <c r="G90" s="11" t="str">
        <f aca="false">IFERROR(INDEX(Catalogo!$D$2:$D$29,MATCH($E90,Catalogo!$B$2:$B$29,0)),"")</f>
        <v/>
      </c>
      <c r="H90" s="11" t="str">
        <f aca="false">IFERROR(INDEX(Catalogo!$E$2:$E$29,MATCH($E90,Catalogo!$B$2:$B$29,0)),"")</f>
        <v/>
      </c>
      <c r="I90" s="31" t="str">
        <f aca="false">IFERROR(INDEX(Parametros!$C$13:$C$16,MATCH($F90,Parametros!$B$13:$B$16,0)),"")</f>
        <v/>
      </c>
      <c r="J90" s="36" t="str">
        <f aca="false">IFERROR(INDEX(Parametros!$E$13:$E$16,MATCH($F90,Parametros!$B$13:$B$16,0)),"")</f>
        <v/>
      </c>
      <c r="K90" s="33"/>
      <c r="L90" s="34" t="str">
        <f aca="false">IF(OR($K90="",$J90="",$J90=0),"",$K90+$J90)</f>
        <v/>
      </c>
      <c r="M90" s="29"/>
      <c r="N90" s="33"/>
      <c r="O90" s="33"/>
      <c r="P90" s="35" t="str">
        <f aca="false">IFERROR(INDEX(Parametros!$D$13:$D$16,MATCH($F90,Parametros!$B$13:$B$16,0)),"")</f>
        <v/>
      </c>
      <c r="Q90" s="30" t="str">
        <f aca="false">IF($F90="","",IF($F90="D","NAO","SIM"))</f>
        <v/>
      </c>
      <c r="R90" s="35" t="n">
        <f aca="false">IF(AND($M90="VERIFICADO",$Q90="SIM"),$P90,0)</f>
        <v>0</v>
      </c>
    </row>
    <row r="91" customFormat="false" ht="15" hidden="false" customHeight="false" outlineLevel="0" collapsed="false">
      <c r="A91" s="29"/>
      <c r="B91" s="29"/>
      <c r="C91" s="29"/>
      <c r="D91" s="29"/>
      <c r="E91" s="29"/>
      <c r="F91" s="30" t="str">
        <f aca="false">IFERROR(INDEX(Catalogo!$C$2:$C$29,MATCH($E91,Catalogo!$B$2:$B$29,0)),"")</f>
        <v/>
      </c>
      <c r="G91" s="11" t="str">
        <f aca="false">IFERROR(INDEX(Catalogo!$D$2:$D$29,MATCH($E91,Catalogo!$B$2:$B$29,0)),"")</f>
        <v/>
      </c>
      <c r="H91" s="11" t="str">
        <f aca="false">IFERROR(INDEX(Catalogo!$E$2:$E$29,MATCH($E91,Catalogo!$B$2:$B$29,0)),"")</f>
        <v/>
      </c>
      <c r="I91" s="31" t="str">
        <f aca="false">IFERROR(INDEX(Parametros!$C$13:$C$16,MATCH($F91,Parametros!$B$13:$B$16,0)),"")</f>
        <v/>
      </c>
      <c r="J91" s="36" t="str">
        <f aca="false">IFERROR(INDEX(Parametros!$E$13:$E$16,MATCH($F91,Parametros!$B$13:$B$16,0)),"")</f>
        <v/>
      </c>
      <c r="K91" s="33"/>
      <c r="L91" s="34" t="str">
        <f aca="false">IF(OR($K91="",$J91="",$J91=0),"",$K91+$J91)</f>
        <v/>
      </c>
      <c r="M91" s="29"/>
      <c r="N91" s="33"/>
      <c r="O91" s="33"/>
      <c r="P91" s="35" t="str">
        <f aca="false">IFERROR(INDEX(Parametros!$D$13:$D$16,MATCH($F91,Parametros!$B$13:$B$16,0)),"")</f>
        <v/>
      </c>
      <c r="Q91" s="30" t="str">
        <f aca="false">IF($F91="","",IF($F91="D","NAO","SIM"))</f>
        <v/>
      </c>
      <c r="R91" s="35" t="n">
        <f aca="false">IF(AND($M91="VERIFICADO",$Q91="SIM"),$P91,0)</f>
        <v>0</v>
      </c>
    </row>
    <row r="92" customFormat="false" ht="15" hidden="false" customHeight="false" outlineLevel="0" collapsed="false">
      <c r="A92" s="29"/>
      <c r="B92" s="29"/>
      <c r="C92" s="29"/>
      <c r="D92" s="29"/>
      <c r="E92" s="29"/>
      <c r="F92" s="30" t="str">
        <f aca="false">IFERROR(INDEX(Catalogo!$C$2:$C$29,MATCH($E92,Catalogo!$B$2:$B$29,0)),"")</f>
        <v/>
      </c>
      <c r="G92" s="11" t="str">
        <f aca="false">IFERROR(INDEX(Catalogo!$D$2:$D$29,MATCH($E92,Catalogo!$B$2:$B$29,0)),"")</f>
        <v/>
      </c>
      <c r="H92" s="11" t="str">
        <f aca="false">IFERROR(INDEX(Catalogo!$E$2:$E$29,MATCH($E92,Catalogo!$B$2:$B$29,0)),"")</f>
        <v/>
      </c>
      <c r="I92" s="31" t="str">
        <f aca="false">IFERROR(INDEX(Parametros!$C$13:$C$16,MATCH($F92,Parametros!$B$13:$B$16,0)),"")</f>
        <v/>
      </c>
      <c r="J92" s="36" t="str">
        <f aca="false">IFERROR(INDEX(Parametros!$E$13:$E$16,MATCH($F92,Parametros!$B$13:$B$16,0)),"")</f>
        <v/>
      </c>
      <c r="K92" s="33"/>
      <c r="L92" s="34" t="str">
        <f aca="false">IF(OR($K92="",$J92="",$J92=0),"",$K92+$J92)</f>
        <v/>
      </c>
      <c r="M92" s="29"/>
      <c r="N92" s="33"/>
      <c r="O92" s="33"/>
      <c r="P92" s="35" t="str">
        <f aca="false">IFERROR(INDEX(Parametros!$D$13:$D$16,MATCH($F92,Parametros!$B$13:$B$16,0)),"")</f>
        <v/>
      </c>
      <c r="Q92" s="30" t="str">
        <f aca="false">IF($F92="","",IF($F92="D","NAO","SIM"))</f>
        <v/>
      </c>
      <c r="R92" s="35" t="n">
        <f aca="false">IF(AND($M92="VERIFICADO",$Q92="SIM"),$P92,0)</f>
        <v>0</v>
      </c>
    </row>
    <row r="93" customFormat="false" ht="15" hidden="false" customHeight="false" outlineLevel="0" collapsed="false">
      <c r="A93" s="29"/>
      <c r="B93" s="29"/>
      <c r="C93" s="29"/>
      <c r="D93" s="29"/>
      <c r="E93" s="29"/>
      <c r="F93" s="30" t="str">
        <f aca="false">IFERROR(INDEX(Catalogo!$C$2:$C$29,MATCH($E93,Catalogo!$B$2:$B$29,0)),"")</f>
        <v/>
      </c>
      <c r="G93" s="11" t="str">
        <f aca="false">IFERROR(INDEX(Catalogo!$D$2:$D$29,MATCH($E93,Catalogo!$B$2:$B$29,0)),"")</f>
        <v/>
      </c>
      <c r="H93" s="11" t="str">
        <f aca="false">IFERROR(INDEX(Catalogo!$E$2:$E$29,MATCH($E93,Catalogo!$B$2:$B$29,0)),"")</f>
        <v/>
      </c>
      <c r="I93" s="31" t="str">
        <f aca="false">IFERROR(INDEX(Parametros!$C$13:$C$16,MATCH($F93,Parametros!$B$13:$B$16,0)),"")</f>
        <v/>
      </c>
      <c r="J93" s="36" t="str">
        <f aca="false">IFERROR(INDEX(Parametros!$E$13:$E$16,MATCH($F93,Parametros!$B$13:$B$16,0)),"")</f>
        <v/>
      </c>
      <c r="K93" s="33"/>
      <c r="L93" s="34" t="str">
        <f aca="false">IF(OR($K93="",$J93="",$J93=0),"",$K93+$J93)</f>
        <v/>
      </c>
      <c r="M93" s="29"/>
      <c r="N93" s="33"/>
      <c r="O93" s="33"/>
      <c r="P93" s="35" t="str">
        <f aca="false">IFERROR(INDEX(Parametros!$D$13:$D$16,MATCH($F93,Parametros!$B$13:$B$16,0)),"")</f>
        <v/>
      </c>
      <c r="Q93" s="30" t="str">
        <f aca="false">IF($F93="","",IF($F93="D","NAO","SIM"))</f>
        <v/>
      </c>
      <c r="R93" s="35" t="n">
        <f aca="false">IF(AND($M93="VERIFICADO",$Q93="SIM"),$P93,0)</f>
        <v>0</v>
      </c>
    </row>
    <row r="94" customFormat="false" ht="15" hidden="false" customHeight="false" outlineLevel="0" collapsed="false">
      <c r="A94" s="29"/>
      <c r="B94" s="29"/>
      <c r="C94" s="29"/>
      <c r="D94" s="29"/>
      <c r="E94" s="29"/>
      <c r="F94" s="30" t="str">
        <f aca="false">IFERROR(INDEX(Catalogo!$C$2:$C$29,MATCH($E94,Catalogo!$B$2:$B$29,0)),"")</f>
        <v/>
      </c>
      <c r="G94" s="11" t="str">
        <f aca="false">IFERROR(INDEX(Catalogo!$D$2:$D$29,MATCH($E94,Catalogo!$B$2:$B$29,0)),"")</f>
        <v/>
      </c>
      <c r="H94" s="11" t="str">
        <f aca="false">IFERROR(INDEX(Catalogo!$E$2:$E$29,MATCH($E94,Catalogo!$B$2:$B$29,0)),"")</f>
        <v/>
      </c>
      <c r="I94" s="31" t="str">
        <f aca="false">IFERROR(INDEX(Parametros!$C$13:$C$16,MATCH($F94,Parametros!$B$13:$B$16,0)),"")</f>
        <v/>
      </c>
      <c r="J94" s="36" t="str">
        <f aca="false">IFERROR(INDEX(Parametros!$E$13:$E$16,MATCH($F94,Parametros!$B$13:$B$16,0)),"")</f>
        <v/>
      </c>
      <c r="K94" s="33"/>
      <c r="L94" s="34" t="str">
        <f aca="false">IF(OR($K94="",$J94="",$J94=0),"",$K94+$J94)</f>
        <v/>
      </c>
      <c r="M94" s="29"/>
      <c r="N94" s="33"/>
      <c r="O94" s="33"/>
      <c r="P94" s="35" t="str">
        <f aca="false">IFERROR(INDEX(Parametros!$D$13:$D$16,MATCH($F94,Parametros!$B$13:$B$16,0)),"")</f>
        <v/>
      </c>
      <c r="Q94" s="30" t="str">
        <f aca="false">IF($F94="","",IF($F94="D","NAO","SIM"))</f>
        <v/>
      </c>
      <c r="R94" s="35" t="n">
        <f aca="false">IF(AND($M94="VERIFICADO",$Q94="SIM"),$P94,0)</f>
        <v>0</v>
      </c>
    </row>
    <row r="95" customFormat="false" ht="15" hidden="false" customHeight="false" outlineLevel="0" collapsed="false">
      <c r="A95" s="29"/>
      <c r="B95" s="29"/>
      <c r="C95" s="29"/>
      <c r="D95" s="29"/>
      <c r="E95" s="29"/>
      <c r="F95" s="30" t="str">
        <f aca="false">IFERROR(INDEX(Catalogo!$C$2:$C$29,MATCH($E95,Catalogo!$B$2:$B$29,0)),"")</f>
        <v/>
      </c>
      <c r="G95" s="11" t="str">
        <f aca="false">IFERROR(INDEX(Catalogo!$D$2:$D$29,MATCH($E95,Catalogo!$B$2:$B$29,0)),"")</f>
        <v/>
      </c>
      <c r="H95" s="11" t="str">
        <f aca="false">IFERROR(INDEX(Catalogo!$E$2:$E$29,MATCH($E95,Catalogo!$B$2:$B$29,0)),"")</f>
        <v/>
      </c>
      <c r="I95" s="31" t="str">
        <f aca="false">IFERROR(INDEX(Parametros!$C$13:$C$16,MATCH($F95,Parametros!$B$13:$B$16,0)),"")</f>
        <v/>
      </c>
      <c r="J95" s="36" t="str">
        <f aca="false">IFERROR(INDEX(Parametros!$E$13:$E$16,MATCH($F95,Parametros!$B$13:$B$16,0)),"")</f>
        <v/>
      </c>
      <c r="K95" s="33"/>
      <c r="L95" s="34" t="str">
        <f aca="false">IF(OR($K95="",$J95="",$J95=0),"",$K95+$J95)</f>
        <v/>
      </c>
      <c r="M95" s="29"/>
      <c r="N95" s="33"/>
      <c r="O95" s="33"/>
      <c r="P95" s="35" t="str">
        <f aca="false">IFERROR(INDEX(Parametros!$D$13:$D$16,MATCH($F95,Parametros!$B$13:$B$16,0)),"")</f>
        <v/>
      </c>
      <c r="Q95" s="30" t="str">
        <f aca="false">IF($F95="","",IF($F95="D","NAO","SIM"))</f>
        <v/>
      </c>
      <c r="R95" s="35" t="n">
        <f aca="false">IF(AND($M95="VERIFICADO",$Q95="SIM"),$P95,0)</f>
        <v>0</v>
      </c>
    </row>
    <row r="96" customFormat="false" ht="15" hidden="false" customHeight="false" outlineLevel="0" collapsed="false">
      <c r="A96" s="29"/>
      <c r="B96" s="29"/>
      <c r="C96" s="29"/>
      <c r="D96" s="29"/>
      <c r="E96" s="29"/>
      <c r="F96" s="30" t="str">
        <f aca="false">IFERROR(INDEX(Catalogo!$C$2:$C$29,MATCH($E96,Catalogo!$B$2:$B$29,0)),"")</f>
        <v/>
      </c>
      <c r="G96" s="11" t="str">
        <f aca="false">IFERROR(INDEX(Catalogo!$D$2:$D$29,MATCH($E96,Catalogo!$B$2:$B$29,0)),"")</f>
        <v/>
      </c>
      <c r="H96" s="11" t="str">
        <f aca="false">IFERROR(INDEX(Catalogo!$E$2:$E$29,MATCH($E96,Catalogo!$B$2:$B$29,0)),"")</f>
        <v/>
      </c>
      <c r="I96" s="31" t="str">
        <f aca="false">IFERROR(INDEX(Parametros!$C$13:$C$16,MATCH($F96,Parametros!$B$13:$B$16,0)),"")</f>
        <v/>
      </c>
      <c r="J96" s="36" t="str">
        <f aca="false">IFERROR(INDEX(Parametros!$E$13:$E$16,MATCH($F96,Parametros!$B$13:$B$16,0)),"")</f>
        <v/>
      </c>
      <c r="K96" s="33"/>
      <c r="L96" s="34" t="str">
        <f aca="false">IF(OR($K96="",$J96="",$J96=0),"",$K96+$J96)</f>
        <v/>
      </c>
      <c r="M96" s="29"/>
      <c r="N96" s="33"/>
      <c r="O96" s="33"/>
      <c r="P96" s="35" t="str">
        <f aca="false">IFERROR(INDEX(Parametros!$D$13:$D$16,MATCH($F96,Parametros!$B$13:$B$16,0)),"")</f>
        <v/>
      </c>
      <c r="Q96" s="30" t="str">
        <f aca="false">IF($F96="","",IF($F96="D","NAO","SIM"))</f>
        <v/>
      </c>
      <c r="R96" s="35" t="n">
        <f aca="false">IF(AND($M96="VERIFICADO",$Q96="SIM"),$P96,0)</f>
        <v>0</v>
      </c>
    </row>
    <row r="97" customFormat="false" ht="15" hidden="false" customHeight="false" outlineLevel="0" collapsed="false">
      <c r="A97" s="29"/>
      <c r="B97" s="29"/>
      <c r="C97" s="29"/>
      <c r="D97" s="29"/>
      <c r="E97" s="29"/>
      <c r="F97" s="30" t="str">
        <f aca="false">IFERROR(INDEX(Catalogo!$C$2:$C$29,MATCH($E97,Catalogo!$B$2:$B$29,0)),"")</f>
        <v/>
      </c>
      <c r="G97" s="11" t="str">
        <f aca="false">IFERROR(INDEX(Catalogo!$D$2:$D$29,MATCH($E97,Catalogo!$B$2:$B$29,0)),"")</f>
        <v/>
      </c>
      <c r="H97" s="11" t="str">
        <f aca="false">IFERROR(INDEX(Catalogo!$E$2:$E$29,MATCH($E97,Catalogo!$B$2:$B$29,0)),"")</f>
        <v/>
      </c>
      <c r="I97" s="31" t="str">
        <f aca="false">IFERROR(INDEX(Parametros!$C$13:$C$16,MATCH($F97,Parametros!$B$13:$B$16,0)),"")</f>
        <v/>
      </c>
      <c r="J97" s="36" t="str">
        <f aca="false">IFERROR(INDEX(Parametros!$E$13:$E$16,MATCH($F97,Parametros!$B$13:$B$16,0)),"")</f>
        <v/>
      </c>
      <c r="K97" s="33"/>
      <c r="L97" s="34" t="str">
        <f aca="false">IF(OR($K97="",$J97="",$J97=0),"",$K97+$J97)</f>
        <v/>
      </c>
      <c r="M97" s="29"/>
      <c r="N97" s="33"/>
      <c r="O97" s="33"/>
      <c r="P97" s="35" t="str">
        <f aca="false">IFERROR(INDEX(Parametros!$D$13:$D$16,MATCH($F97,Parametros!$B$13:$B$16,0)),"")</f>
        <v/>
      </c>
      <c r="Q97" s="30" t="str">
        <f aca="false">IF($F97="","",IF($F97="D","NAO","SIM"))</f>
        <v/>
      </c>
      <c r="R97" s="35" t="n">
        <f aca="false">IF(AND($M97="VERIFICADO",$Q97="SIM"),$P97,0)</f>
        <v>0</v>
      </c>
    </row>
    <row r="98" customFormat="false" ht="15" hidden="false" customHeight="false" outlineLevel="0" collapsed="false">
      <c r="A98" s="29"/>
      <c r="B98" s="29"/>
      <c r="C98" s="29"/>
      <c r="D98" s="29"/>
      <c r="E98" s="29"/>
      <c r="F98" s="30" t="str">
        <f aca="false">IFERROR(INDEX(Catalogo!$C$2:$C$29,MATCH($E98,Catalogo!$B$2:$B$29,0)),"")</f>
        <v/>
      </c>
      <c r="G98" s="11" t="str">
        <f aca="false">IFERROR(INDEX(Catalogo!$D$2:$D$29,MATCH($E98,Catalogo!$B$2:$B$29,0)),"")</f>
        <v/>
      </c>
      <c r="H98" s="11" t="str">
        <f aca="false">IFERROR(INDEX(Catalogo!$E$2:$E$29,MATCH($E98,Catalogo!$B$2:$B$29,0)),"")</f>
        <v/>
      </c>
      <c r="I98" s="31" t="str">
        <f aca="false">IFERROR(INDEX(Parametros!$C$13:$C$16,MATCH($F98,Parametros!$B$13:$B$16,0)),"")</f>
        <v/>
      </c>
      <c r="J98" s="36" t="str">
        <f aca="false">IFERROR(INDEX(Parametros!$E$13:$E$16,MATCH($F98,Parametros!$B$13:$B$16,0)),"")</f>
        <v/>
      </c>
      <c r="K98" s="33"/>
      <c r="L98" s="34" t="str">
        <f aca="false">IF(OR($K98="",$J98="",$J98=0),"",$K98+$J98)</f>
        <v/>
      </c>
      <c r="M98" s="29"/>
      <c r="N98" s="33"/>
      <c r="O98" s="33"/>
      <c r="P98" s="35" t="str">
        <f aca="false">IFERROR(INDEX(Parametros!$D$13:$D$16,MATCH($F98,Parametros!$B$13:$B$16,0)),"")</f>
        <v/>
      </c>
      <c r="Q98" s="30" t="str">
        <f aca="false">IF($F98="","",IF($F98="D","NAO","SIM"))</f>
        <v/>
      </c>
      <c r="R98" s="35" t="n">
        <f aca="false">IF(AND($M98="VERIFICADO",$Q98="SIM"),$P98,0)</f>
        <v>0</v>
      </c>
    </row>
    <row r="99" customFormat="false" ht="15" hidden="false" customHeight="false" outlineLevel="0" collapsed="false">
      <c r="A99" s="29"/>
      <c r="B99" s="29"/>
      <c r="C99" s="29"/>
      <c r="D99" s="29"/>
      <c r="E99" s="29"/>
      <c r="F99" s="30" t="str">
        <f aca="false">IFERROR(INDEX(Catalogo!$C$2:$C$29,MATCH($E99,Catalogo!$B$2:$B$29,0)),"")</f>
        <v/>
      </c>
      <c r="G99" s="11" t="str">
        <f aca="false">IFERROR(INDEX(Catalogo!$D$2:$D$29,MATCH($E99,Catalogo!$B$2:$B$29,0)),"")</f>
        <v/>
      </c>
      <c r="H99" s="11" t="str">
        <f aca="false">IFERROR(INDEX(Catalogo!$E$2:$E$29,MATCH($E99,Catalogo!$B$2:$B$29,0)),"")</f>
        <v/>
      </c>
      <c r="I99" s="31" t="str">
        <f aca="false">IFERROR(INDEX(Parametros!$C$13:$C$16,MATCH($F99,Parametros!$B$13:$B$16,0)),"")</f>
        <v/>
      </c>
      <c r="J99" s="36" t="str">
        <f aca="false">IFERROR(INDEX(Parametros!$E$13:$E$16,MATCH($F99,Parametros!$B$13:$B$16,0)),"")</f>
        <v/>
      </c>
      <c r="K99" s="33"/>
      <c r="L99" s="34" t="str">
        <f aca="false">IF(OR($K99="",$J99="",$J99=0),"",$K99+$J99)</f>
        <v/>
      </c>
      <c r="M99" s="29"/>
      <c r="N99" s="33"/>
      <c r="O99" s="33"/>
      <c r="P99" s="35" t="str">
        <f aca="false">IFERROR(INDEX(Parametros!$D$13:$D$16,MATCH($F99,Parametros!$B$13:$B$16,0)),"")</f>
        <v/>
      </c>
      <c r="Q99" s="30" t="str">
        <f aca="false">IF($F99="","",IF($F99="D","NAO","SIM"))</f>
        <v/>
      </c>
      <c r="R99" s="35" t="n">
        <f aca="false">IF(AND($M99="VERIFICADO",$Q99="SIM"),$P99,0)</f>
        <v>0</v>
      </c>
    </row>
    <row r="100" customFormat="false" ht="15" hidden="false" customHeight="false" outlineLevel="0" collapsed="false">
      <c r="A100" s="29"/>
      <c r="B100" s="29"/>
      <c r="C100" s="29"/>
      <c r="D100" s="29"/>
      <c r="E100" s="29"/>
      <c r="F100" s="30" t="str">
        <f aca="false">IFERROR(INDEX(Catalogo!$C$2:$C$29,MATCH($E100,Catalogo!$B$2:$B$29,0)),"")</f>
        <v/>
      </c>
      <c r="G100" s="11" t="str">
        <f aca="false">IFERROR(INDEX(Catalogo!$D$2:$D$29,MATCH($E100,Catalogo!$B$2:$B$29,0)),"")</f>
        <v/>
      </c>
      <c r="H100" s="11" t="str">
        <f aca="false">IFERROR(INDEX(Catalogo!$E$2:$E$29,MATCH($E100,Catalogo!$B$2:$B$29,0)),"")</f>
        <v/>
      </c>
      <c r="I100" s="31" t="str">
        <f aca="false">IFERROR(INDEX(Parametros!$C$13:$C$16,MATCH($F100,Parametros!$B$13:$B$16,0)),"")</f>
        <v/>
      </c>
      <c r="J100" s="36" t="str">
        <f aca="false">IFERROR(INDEX(Parametros!$E$13:$E$16,MATCH($F100,Parametros!$B$13:$B$16,0)),"")</f>
        <v/>
      </c>
      <c r="K100" s="33"/>
      <c r="L100" s="34" t="str">
        <f aca="false">IF(OR($K100="",$J100="",$J100=0),"",$K100+$J100)</f>
        <v/>
      </c>
      <c r="M100" s="29"/>
      <c r="N100" s="33"/>
      <c r="O100" s="33"/>
      <c r="P100" s="35" t="str">
        <f aca="false">IFERROR(INDEX(Parametros!$D$13:$D$16,MATCH($F100,Parametros!$B$13:$B$16,0)),"")</f>
        <v/>
      </c>
      <c r="Q100" s="30" t="str">
        <f aca="false">IF($F100="","",IF($F100="D","NAO","SIM"))</f>
        <v/>
      </c>
      <c r="R100" s="35" t="n">
        <f aca="false">IF(AND($M100="VERIFICADO",$Q100="SIM"),$P100,0)</f>
        <v>0</v>
      </c>
    </row>
    <row r="101" customFormat="false" ht="15" hidden="false" customHeight="false" outlineLevel="0" collapsed="false">
      <c r="A101" s="29"/>
      <c r="B101" s="29"/>
      <c r="C101" s="29"/>
      <c r="D101" s="29"/>
      <c r="E101" s="29"/>
      <c r="F101" s="30" t="str">
        <f aca="false">IFERROR(INDEX(Catalogo!$C$2:$C$29,MATCH($E101,Catalogo!$B$2:$B$29,0)),"")</f>
        <v/>
      </c>
      <c r="G101" s="11" t="str">
        <f aca="false">IFERROR(INDEX(Catalogo!$D$2:$D$29,MATCH($E101,Catalogo!$B$2:$B$29,0)),"")</f>
        <v/>
      </c>
      <c r="H101" s="11" t="str">
        <f aca="false">IFERROR(INDEX(Catalogo!$E$2:$E$29,MATCH($E101,Catalogo!$B$2:$B$29,0)),"")</f>
        <v/>
      </c>
      <c r="I101" s="31" t="str">
        <f aca="false">IFERROR(INDEX(Parametros!$C$13:$C$16,MATCH($F101,Parametros!$B$13:$B$16,0)),"")</f>
        <v/>
      </c>
      <c r="J101" s="36" t="str">
        <f aca="false">IFERROR(INDEX(Parametros!$E$13:$E$16,MATCH($F101,Parametros!$B$13:$B$16,0)),"")</f>
        <v/>
      </c>
      <c r="K101" s="33"/>
      <c r="L101" s="34" t="str">
        <f aca="false">IF(OR($K101="",$J101="",$J101=0),"",$K101+$J101)</f>
        <v/>
      </c>
      <c r="M101" s="29"/>
      <c r="N101" s="33"/>
      <c r="O101" s="33"/>
      <c r="P101" s="35" t="str">
        <f aca="false">IFERROR(INDEX(Parametros!$D$13:$D$16,MATCH($F101,Parametros!$B$13:$B$16,0)),"")</f>
        <v/>
      </c>
      <c r="Q101" s="30" t="str">
        <f aca="false">IF($F101="","",IF($F101="D","NAO","SIM"))</f>
        <v/>
      </c>
      <c r="R101" s="35" t="n">
        <f aca="false">IF(AND($M101="VERIFICADO",$Q101="SIM"),$P101,0)</f>
        <v>0</v>
      </c>
    </row>
    <row r="102" customFormat="false" ht="15" hidden="false" customHeight="false" outlineLevel="0" collapsed="false">
      <c r="A102" s="29"/>
      <c r="B102" s="29"/>
      <c r="C102" s="29"/>
      <c r="D102" s="29"/>
      <c r="E102" s="29"/>
      <c r="F102" s="30" t="str">
        <f aca="false">IFERROR(INDEX(Catalogo!$C$2:$C$29,MATCH($E102,Catalogo!$B$2:$B$29,0)),"")</f>
        <v/>
      </c>
      <c r="G102" s="11" t="str">
        <f aca="false">IFERROR(INDEX(Catalogo!$D$2:$D$29,MATCH($E102,Catalogo!$B$2:$B$29,0)),"")</f>
        <v/>
      </c>
      <c r="H102" s="11" t="str">
        <f aca="false">IFERROR(INDEX(Catalogo!$E$2:$E$29,MATCH($E102,Catalogo!$B$2:$B$29,0)),"")</f>
        <v/>
      </c>
      <c r="I102" s="31" t="str">
        <f aca="false">IFERROR(INDEX(Parametros!$C$13:$C$16,MATCH($F102,Parametros!$B$13:$B$16,0)),"")</f>
        <v/>
      </c>
      <c r="J102" s="36" t="str">
        <f aca="false">IFERROR(INDEX(Parametros!$E$13:$E$16,MATCH($F102,Parametros!$B$13:$B$16,0)),"")</f>
        <v/>
      </c>
      <c r="K102" s="33"/>
      <c r="L102" s="34" t="str">
        <f aca="false">IF(OR($K102="",$J102="",$J102=0),"",$K102+$J102)</f>
        <v/>
      </c>
      <c r="M102" s="29"/>
      <c r="N102" s="33"/>
      <c r="O102" s="33"/>
      <c r="P102" s="35" t="str">
        <f aca="false">IFERROR(INDEX(Parametros!$D$13:$D$16,MATCH($F102,Parametros!$B$13:$B$16,0)),"")</f>
        <v/>
      </c>
      <c r="Q102" s="30" t="str">
        <f aca="false">IF($F102="","",IF($F102="D","NAO","SIM"))</f>
        <v/>
      </c>
      <c r="R102" s="35" t="n">
        <f aca="false">IF(AND($M102="VERIFICADO",$Q102="SIM"),$P102,0)</f>
        <v>0</v>
      </c>
    </row>
    <row r="103" customFormat="false" ht="15" hidden="false" customHeight="false" outlineLevel="0" collapsed="false">
      <c r="A103" s="29"/>
      <c r="B103" s="29"/>
      <c r="C103" s="29"/>
      <c r="D103" s="29"/>
      <c r="E103" s="29"/>
      <c r="F103" s="30" t="str">
        <f aca="false">IFERROR(INDEX(Catalogo!$C$2:$C$29,MATCH($E103,Catalogo!$B$2:$B$29,0)),"")</f>
        <v/>
      </c>
      <c r="G103" s="11" t="str">
        <f aca="false">IFERROR(INDEX(Catalogo!$D$2:$D$29,MATCH($E103,Catalogo!$B$2:$B$29,0)),"")</f>
        <v/>
      </c>
      <c r="H103" s="11" t="str">
        <f aca="false">IFERROR(INDEX(Catalogo!$E$2:$E$29,MATCH($E103,Catalogo!$B$2:$B$29,0)),"")</f>
        <v/>
      </c>
      <c r="I103" s="31" t="str">
        <f aca="false">IFERROR(INDEX(Parametros!$C$13:$C$16,MATCH($F103,Parametros!$B$13:$B$16,0)),"")</f>
        <v/>
      </c>
      <c r="J103" s="36" t="str">
        <f aca="false">IFERROR(INDEX(Parametros!$E$13:$E$16,MATCH($F103,Parametros!$B$13:$B$16,0)),"")</f>
        <v/>
      </c>
      <c r="K103" s="33"/>
      <c r="L103" s="34" t="str">
        <f aca="false">IF(OR($K103="",$J103="",$J103=0),"",$K103+$J103)</f>
        <v/>
      </c>
      <c r="M103" s="29"/>
      <c r="N103" s="33"/>
      <c r="O103" s="33"/>
      <c r="P103" s="35" t="str">
        <f aca="false">IFERROR(INDEX(Parametros!$D$13:$D$16,MATCH($F103,Parametros!$B$13:$B$16,0)),"")</f>
        <v/>
      </c>
      <c r="Q103" s="30" t="str">
        <f aca="false">IF($F103="","",IF($F103="D","NAO","SIM"))</f>
        <v/>
      </c>
      <c r="R103" s="35" t="n">
        <f aca="false">IF(AND($M103="VERIFICADO",$Q103="SIM"),$P103,0)</f>
        <v>0</v>
      </c>
    </row>
    <row r="104" customFormat="false" ht="15" hidden="false" customHeight="false" outlineLevel="0" collapsed="false">
      <c r="A104" s="29"/>
      <c r="B104" s="29"/>
      <c r="C104" s="29"/>
      <c r="D104" s="29"/>
      <c r="E104" s="29"/>
      <c r="F104" s="30" t="str">
        <f aca="false">IFERROR(INDEX(Catalogo!$C$2:$C$29,MATCH($E104,Catalogo!$B$2:$B$29,0)),"")</f>
        <v/>
      </c>
      <c r="G104" s="11" t="str">
        <f aca="false">IFERROR(INDEX(Catalogo!$D$2:$D$29,MATCH($E104,Catalogo!$B$2:$B$29,0)),"")</f>
        <v/>
      </c>
      <c r="H104" s="11" t="str">
        <f aca="false">IFERROR(INDEX(Catalogo!$E$2:$E$29,MATCH($E104,Catalogo!$B$2:$B$29,0)),"")</f>
        <v/>
      </c>
      <c r="I104" s="31" t="str">
        <f aca="false">IFERROR(INDEX(Parametros!$C$13:$C$16,MATCH($F104,Parametros!$B$13:$B$16,0)),"")</f>
        <v/>
      </c>
      <c r="J104" s="36" t="str">
        <f aca="false">IFERROR(INDEX(Parametros!$E$13:$E$16,MATCH($F104,Parametros!$B$13:$B$16,0)),"")</f>
        <v/>
      </c>
      <c r="K104" s="33"/>
      <c r="L104" s="34" t="str">
        <f aca="false">IF(OR($K104="",$J104="",$J104=0),"",$K104+$J104)</f>
        <v/>
      </c>
      <c r="M104" s="29"/>
      <c r="N104" s="33"/>
      <c r="O104" s="33"/>
      <c r="P104" s="35" t="str">
        <f aca="false">IFERROR(INDEX(Parametros!$D$13:$D$16,MATCH($F104,Parametros!$B$13:$B$16,0)),"")</f>
        <v/>
      </c>
      <c r="Q104" s="30" t="str">
        <f aca="false">IF($F104="","",IF($F104="D","NAO","SIM"))</f>
        <v/>
      </c>
      <c r="R104" s="35" t="n">
        <f aca="false">IF(AND($M104="VERIFICADO",$Q104="SIM"),$P104,0)</f>
        <v>0</v>
      </c>
    </row>
    <row r="105" customFormat="false" ht="15" hidden="false" customHeight="false" outlineLevel="0" collapsed="false">
      <c r="A105" s="29"/>
      <c r="B105" s="29"/>
      <c r="C105" s="29"/>
      <c r="D105" s="29"/>
      <c r="E105" s="29"/>
      <c r="F105" s="30" t="str">
        <f aca="false">IFERROR(INDEX(Catalogo!$C$2:$C$29,MATCH($E105,Catalogo!$B$2:$B$29,0)),"")</f>
        <v/>
      </c>
      <c r="G105" s="11" t="str">
        <f aca="false">IFERROR(INDEX(Catalogo!$D$2:$D$29,MATCH($E105,Catalogo!$B$2:$B$29,0)),"")</f>
        <v/>
      </c>
      <c r="H105" s="11" t="str">
        <f aca="false">IFERROR(INDEX(Catalogo!$E$2:$E$29,MATCH($E105,Catalogo!$B$2:$B$29,0)),"")</f>
        <v/>
      </c>
      <c r="I105" s="31" t="str">
        <f aca="false">IFERROR(INDEX(Parametros!$C$13:$C$16,MATCH($F105,Parametros!$B$13:$B$16,0)),"")</f>
        <v/>
      </c>
      <c r="J105" s="36" t="str">
        <f aca="false">IFERROR(INDEX(Parametros!$E$13:$E$16,MATCH($F105,Parametros!$B$13:$B$16,0)),"")</f>
        <v/>
      </c>
      <c r="K105" s="33"/>
      <c r="L105" s="34" t="str">
        <f aca="false">IF(OR($K105="",$J105="",$J105=0),"",$K105+$J105)</f>
        <v/>
      </c>
      <c r="M105" s="29"/>
      <c r="N105" s="33"/>
      <c r="O105" s="33"/>
      <c r="P105" s="35" t="str">
        <f aca="false">IFERROR(INDEX(Parametros!$D$13:$D$16,MATCH($F105,Parametros!$B$13:$B$16,0)),"")</f>
        <v/>
      </c>
      <c r="Q105" s="30" t="str">
        <f aca="false">IF($F105="","",IF($F105="D","NAO","SIM"))</f>
        <v/>
      </c>
      <c r="R105" s="35" t="n">
        <f aca="false">IF(AND($M105="VERIFICADO",$Q105="SIM"),$P105,0)</f>
        <v>0</v>
      </c>
    </row>
    <row r="106" customFormat="false" ht="15" hidden="false" customHeight="false" outlineLevel="0" collapsed="false">
      <c r="A106" s="29"/>
      <c r="B106" s="29"/>
      <c r="C106" s="29"/>
      <c r="D106" s="29"/>
      <c r="E106" s="29"/>
      <c r="F106" s="30" t="str">
        <f aca="false">IFERROR(INDEX(Catalogo!$C$2:$C$29,MATCH($E106,Catalogo!$B$2:$B$29,0)),"")</f>
        <v/>
      </c>
      <c r="G106" s="11" t="str">
        <f aca="false">IFERROR(INDEX(Catalogo!$D$2:$D$29,MATCH($E106,Catalogo!$B$2:$B$29,0)),"")</f>
        <v/>
      </c>
      <c r="H106" s="11" t="str">
        <f aca="false">IFERROR(INDEX(Catalogo!$E$2:$E$29,MATCH($E106,Catalogo!$B$2:$B$29,0)),"")</f>
        <v/>
      </c>
      <c r="I106" s="31" t="str">
        <f aca="false">IFERROR(INDEX(Parametros!$C$13:$C$16,MATCH($F106,Parametros!$B$13:$B$16,0)),"")</f>
        <v/>
      </c>
      <c r="J106" s="36" t="str">
        <f aca="false">IFERROR(INDEX(Parametros!$E$13:$E$16,MATCH($F106,Parametros!$B$13:$B$16,0)),"")</f>
        <v/>
      </c>
      <c r="K106" s="33"/>
      <c r="L106" s="34" t="str">
        <f aca="false">IF(OR($K106="",$J106="",$J106=0),"",$K106+$J106)</f>
        <v/>
      </c>
      <c r="M106" s="29"/>
      <c r="N106" s="33"/>
      <c r="O106" s="33"/>
      <c r="P106" s="35" t="str">
        <f aca="false">IFERROR(INDEX(Parametros!$D$13:$D$16,MATCH($F106,Parametros!$B$13:$B$16,0)),"")</f>
        <v/>
      </c>
      <c r="Q106" s="30" t="str">
        <f aca="false">IF($F106="","",IF($F106="D","NAO","SIM"))</f>
        <v/>
      </c>
      <c r="R106" s="35" t="n">
        <f aca="false">IF(AND($M106="VERIFICADO",$Q106="SIM"),$P106,0)</f>
        <v>0</v>
      </c>
    </row>
    <row r="107" customFormat="false" ht="15" hidden="false" customHeight="false" outlineLevel="0" collapsed="false">
      <c r="A107" s="29"/>
      <c r="B107" s="29"/>
      <c r="C107" s="29"/>
      <c r="D107" s="29"/>
      <c r="E107" s="29"/>
      <c r="F107" s="30" t="str">
        <f aca="false">IFERROR(INDEX(Catalogo!$C$2:$C$29,MATCH($E107,Catalogo!$B$2:$B$29,0)),"")</f>
        <v/>
      </c>
      <c r="G107" s="11" t="str">
        <f aca="false">IFERROR(INDEX(Catalogo!$D$2:$D$29,MATCH($E107,Catalogo!$B$2:$B$29,0)),"")</f>
        <v/>
      </c>
      <c r="H107" s="11" t="str">
        <f aca="false">IFERROR(INDEX(Catalogo!$E$2:$E$29,MATCH($E107,Catalogo!$B$2:$B$29,0)),"")</f>
        <v/>
      </c>
      <c r="I107" s="31" t="str">
        <f aca="false">IFERROR(INDEX(Parametros!$C$13:$C$16,MATCH($F107,Parametros!$B$13:$B$16,0)),"")</f>
        <v/>
      </c>
      <c r="J107" s="36" t="str">
        <f aca="false">IFERROR(INDEX(Parametros!$E$13:$E$16,MATCH($F107,Parametros!$B$13:$B$16,0)),"")</f>
        <v/>
      </c>
      <c r="K107" s="33"/>
      <c r="L107" s="34" t="str">
        <f aca="false">IF(OR($K107="",$J107="",$J107=0),"",$K107+$J107)</f>
        <v/>
      </c>
      <c r="M107" s="29"/>
      <c r="N107" s="33"/>
      <c r="O107" s="33"/>
      <c r="P107" s="35" t="str">
        <f aca="false">IFERROR(INDEX(Parametros!$D$13:$D$16,MATCH($F107,Parametros!$B$13:$B$16,0)),"")</f>
        <v/>
      </c>
      <c r="Q107" s="30" t="str">
        <f aca="false">IF($F107="","",IF($F107="D","NAO","SIM"))</f>
        <v/>
      </c>
      <c r="R107" s="35" t="n">
        <f aca="false">IF(AND($M107="VERIFICADO",$Q107="SIM"),$P107,0)</f>
        <v>0</v>
      </c>
    </row>
    <row r="108" customFormat="false" ht="15" hidden="false" customHeight="false" outlineLevel="0" collapsed="false">
      <c r="A108" s="29"/>
      <c r="B108" s="29"/>
      <c r="C108" s="29"/>
      <c r="D108" s="29"/>
      <c r="E108" s="29"/>
      <c r="F108" s="30" t="str">
        <f aca="false">IFERROR(INDEX(Catalogo!$C$2:$C$29,MATCH($E108,Catalogo!$B$2:$B$29,0)),"")</f>
        <v/>
      </c>
      <c r="G108" s="11" t="str">
        <f aca="false">IFERROR(INDEX(Catalogo!$D$2:$D$29,MATCH($E108,Catalogo!$B$2:$B$29,0)),"")</f>
        <v/>
      </c>
      <c r="H108" s="11" t="str">
        <f aca="false">IFERROR(INDEX(Catalogo!$E$2:$E$29,MATCH($E108,Catalogo!$B$2:$B$29,0)),"")</f>
        <v/>
      </c>
      <c r="I108" s="31" t="str">
        <f aca="false">IFERROR(INDEX(Parametros!$C$13:$C$16,MATCH($F108,Parametros!$B$13:$B$16,0)),"")</f>
        <v/>
      </c>
      <c r="J108" s="36" t="str">
        <f aca="false">IFERROR(INDEX(Parametros!$E$13:$E$16,MATCH($F108,Parametros!$B$13:$B$16,0)),"")</f>
        <v/>
      </c>
      <c r="K108" s="33"/>
      <c r="L108" s="34" t="str">
        <f aca="false">IF(OR($K108="",$J108="",$J108=0),"",$K108+$J108)</f>
        <v/>
      </c>
      <c r="M108" s="29"/>
      <c r="N108" s="33"/>
      <c r="O108" s="33"/>
      <c r="P108" s="35" t="str">
        <f aca="false">IFERROR(INDEX(Parametros!$D$13:$D$16,MATCH($F108,Parametros!$B$13:$B$16,0)),"")</f>
        <v/>
      </c>
      <c r="Q108" s="30" t="str">
        <f aca="false">IF($F108="","",IF($F108="D","NAO","SIM"))</f>
        <v/>
      </c>
      <c r="R108" s="35" t="n">
        <f aca="false">IF(AND($M108="VERIFICADO",$Q108="SIM"),$P108,0)</f>
        <v>0</v>
      </c>
    </row>
    <row r="109" customFormat="false" ht="15" hidden="false" customHeight="false" outlineLevel="0" collapsed="false">
      <c r="A109" s="29"/>
      <c r="B109" s="29"/>
      <c r="C109" s="29"/>
      <c r="D109" s="29"/>
      <c r="E109" s="29"/>
      <c r="F109" s="30" t="str">
        <f aca="false">IFERROR(INDEX(Catalogo!$C$2:$C$29,MATCH($E109,Catalogo!$B$2:$B$29,0)),"")</f>
        <v/>
      </c>
      <c r="G109" s="11" t="str">
        <f aca="false">IFERROR(INDEX(Catalogo!$D$2:$D$29,MATCH($E109,Catalogo!$B$2:$B$29,0)),"")</f>
        <v/>
      </c>
      <c r="H109" s="11" t="str">
        <f aca="false">IFERROR(INDEX(Catalogo!$E$2:$E$29,MATCH($E109,Catalogo!$B$2:$B$29,0)),"")</f>
        <v/>
      </c>
      <c r="I109" s="31" t="str">
        <f aca="false">IFERROR(INDEX(Parametros!$C$13:$C$16,MATCH($F109,Parametros!$B$13:$B$16,0)),"")</f>
        <v/>
      </c>
      <c r="J109" s="36" t="str">
        <f aca="false">IFERROR(INDEX(Parametros!$E$13:$E$16,MATCH($F109,Parametros!$B$13:$B$16,0)),"")</f>
        <v/>
      </c>
      <c r="K109" s="33"/>
      <c r="L109" s="34" t="str">
        <f aca="false">IF(OR($K109="",$J109="",$J109=0),"",$K109+$J109)</f>
        <v/>
      </c>
      <c r="M109" s="29"/>
      <c r="N109" s="33"/>
      <c r="O109" s="33"/>
      <c r="P109" s="35" t="str">
        <f aca="false">IFERROR(INDEX(Parametros!$D$13:$D$16,MATCH($F109,Parametros!$B$13:$B$16,0)),"")</f>
        <v/>
      </c>
      <c r="Q109" s="30" t="str">
        <f aca="false">IF($F109="","",IF($F109="D","NAO","SIM"))</f>
        <v/>
      </c>
      <c r="R109" s="35" t="n">
        <f aca="false">IF(AND($M109="VERIFICADO",$Q109="SIM"),$P109,0)</f>
        <v>0</v>
      </c>
    </row>
    <row r="110" customFormat="false" ht="15" hidden="false" customHeight="false" outlineLevel="0" collapsed="false">
      <c r="A110" s="29"/>
      <c r="B110" s="29"/>
      <c r="C110" s="29"/>
      <c r="D110" s="29"/>
      <c r="E110" s="29"/>
      <c r="F110" s="30" t="str">
        <f aca="false">IFERROR(INDEX(Catalogo!$C$2:$C$29,MATCH($E110,Catalogo!$B$2:$B$29,0)),"")</f>
        <v/>
      </c>
      <c r="G110" s="11" t="str">
        <f aca="false">IFERROR(INDEX(Catalogo!$D$2:$D$29,MATCH($E110,Catalogo!$B$2:$B$29,0)),"")</f>
        <v/>
      </c>
      <c r="H110" s="11" t="str">
        <f aca="false">IFERROR(INDEX(Catalogo!$E$2:$E$29,MATCH($E110,Catalogo!$B$2:$B$29,0)),"")</f>
        <v/>
      </c>
      <c r="I110" s="31" t="str">
        <f aca="false">IFERROR(INDEX(Parametros!$C$13:$C$16,MATCH($F110,Parametros!$B$13:$B$16,0)),"")</f>
        <v/>
      </c>
      <c r="J110" s="36" t="str">
        <f aca="false">IFERROR(INDEX(Parametros!$E$13:$E$16,MATCH($F110,Parametros!$B$13:$B$16,0)),"")</f>
        <v/>
      </c>
      <c r="K110" s="33"/>
      <c r="L110" s="34" t="str">
        <f aca="false">IF(OR($K110="",$J110="",$J110=0),"",$K110+$J110)</f>
        <v/>
      </c>
      <c r="M110" s="29"/>
      <c r="N110" s="33"/>
      <c r="O110" s="33"/>
      <c r="P110" s="35" t="str">
        <f aca="false">IFERROR(INDEX(Parametros!$D$13:$D$16,MATCH($F110,Parametros!$B$13:$B$16,0)),"")</f>
        <v/>
      </c>
      <c r="Q110" s="30" t="str">
        <f aca="false">IF($F110="","",IF($F110="D","NAO","SIM"))</f>
        <v/>
      </c>
      <c r="R110" s="35" t="n">
        <f aca="false">IF(AND($M110="VERIFICADO",$Q110="SIM"),$P110,0)</f>
        <v>0</v>
      </c>
    </row>
    <row r="111" customFormat="false" ht="15" hidden="false" customHeight="false" outlineLevel="0" collapsed="false">
      <c r="A111" s="29"/>
      <c r="B111" s="29"/>
      <c r="C111" s="29"/>
      <c r="D111" s="29"/>
      <c r="E111" s="29"/>
      <c r="F111" s="30" t="str">
        <f aca="false">IFERROR(INDEX(Catalogo!$C$2:$C$29,MATCH($E111,Catalogo!$B$2:$B$29,0)),"")</f>
        <v/>
      </c>
      <c r="G111" s="11" t="str">
        <f aca="false">IFERROR(INDEX(Catalogo!$D$2:$D$29,MATCH($E111,Catalogo!$B$2:$B$29,0)),"")</f>
        <v/>
      </c>
      <c r="H111" s="11" t="str">
        <f aca="false">IFERROR(INDEX(Catalogo!$E$2:$E$29,MATCH($E111,Catalogo!$B$2:$B$29,0)),"")</f>
        <v/>
      </c>
      <c r="I111" s="31" t="str">
        <f aca="false">IFERROR(INDEX(Parametros!$C$13:$C$16,MATCH($F111,Parametros!$B$13:$B$16,0)),"")</f>
        <v/>
      </c>
      <c r="J111" s="36" t="str">
        <f aca="false">IFERROR(INDEX(Parametros!$E$13:$E$16,MATCH($F111,Parametros!$B$13:$B$16,0)),"")</f>
        <v/>
      </c>
      <c r="K111" s="33"/>
      <c r="L111" s="34" t="str">
        <f aca="false">IF(OR($K111="",$J111="",$J111=0),"",$K111+$J111)</f>
        <v/>
      </c>
      <c r="M111" s="29"/>
      <c r="N111" s="33"/>
      <c r="O111" s="33"/>
      <c r="P111" s="35" t="str">
        <f aca="false">IFERROR(INDEX(Parametros!$D$13:$D$16,MATCH($F111,Parametros!$B$13:$B$16,0)),"")</f>
        <v/>
      </c>
      <c r="Q111" s="30" t="str">
        <f aca="false">IF($F111="","",IF($F111="D","NAO","SIM"))</f>
        <v/>
      </c>
      <c r="R111" s="35" t="n">
        <f aca="false">IF(AND($M111="VERIFICADO",$Q111="SIM"),$P111,0)</f>
        <v>0</v>
      </c>
    </row>
    <row r="112" customFormat="false" ht="15" hidden="false" customHeight="false" outlineLevel="0" collapsed="false">
      <c r="A112" s="29"/>
      <c r="B112" s="29"/>
      <c r="C112" s="29"/>
      <c r="D112" s="29"/>
      <c r="E112" s="29"/>
      <c r="F112" s="30" t="str">
        <f aca="false">IFERROR(INDEX(Catalogo!$C$2:$C$29,MATCH($E112,Catalogo!$B$2:$B$29,0)),"")</f>
        <v/>
      </c>
      <c r="G112" s="11" t="str">
        <f aca="false">IFERROR(INDEX(Catalogo!$D$2:$D$29,MATCH($E112,Catalogo!$B$2:$B$29,0)),"")</f>
        <v/>
      </c>
      <c r="H112" s="11" t="str">
        <f aca="false">IFERROR(INDEX(Catalogo!$E$2:$E$29,MATCH($E112,Catalogo!$B$2:$B$29,0)),"")</f>
        <v/>
      </c>
      <c r="I112" s="31" t="str">
        <f aca="false">IFERROR(INDEX(Parametros!$C$13:$C$16,MATCH($F112,Parametros!$B$13:$B$16,0)),"")</f>
        <v/>
      </c>
      <c r="J112" s="36" t="str">
        <f aca="false">IFERROR(INDEX(Parametros!$E$13:$E$16,MATCH($F112,Parametros!$B$13:$B$16,0)),"")</f>
        <v/>
      </c>
      <c r="K112" s="33"/>
      <c r="L112" s="34" t="str">
        <f aca="false">IF(OR($K112="",$J112="",$J112=0),"",$K112+$J112)</f>
        <v/>
      </c>
      <c r="M112" s="29"/>
      <c r="N112" s="33"/>
      <c r="O112" s="33"/>
      <c r="P112" s="35" t="str">
        <f aca="false">IFERROR(INDEX(Parametros!$D$13:$D$16,MATCH($F112,Parametros!$B$13:$B$16,0)),"")</f>
        <v/>
      </c>
      <c r="Q112" s="30" t="str">
        <f aca="false">IF($F112="","",IF($F112="D","NAO","SIM"))</f>
        <v/>
      </c>
      <c r="R112" s="35" t="n">
        <f aca="false">IF(AND($M112="VERIFICADO",$Q112="SIM"),$P112,0)</f>
        <v>0</v>
      </c>
    </row>
    <row r="113" customFormat="false" ht="15" hidden="false" customHeight="false" outlineLevel="0" collapsed="false">
      <c r="A113" s="29"/>
      <c r="B113" s="29"/>
      <c r="C113" s="29"/>
      <c r="D113" s="29"/>
      <c r="E113" s="29"/>
      <c r="F113" s="30" t="str">
        <f aca="false">IFERROR(INDEX(Catalogo!$C$2:$C$29,MATCH($E113,Catalogo!$B$2:$B$29,0)),"")</f>
        <v/>
      </c>
      <c r="G113" s="11" t="str">
        <f aca="false">IFERROR(INDEX(Catalogo!$D$2:$D$29,MATCH($E113,Catalogo!$B$2:$B$29,0)),"")</f>
        <v/>
      </c>
      <c r="H113" s="11" t="str">
        <f aca="false">IFERROR(INDEX(Catalogo!$E$2:$E$29,MATCH($E113,Catalogo!$B$2:$B$29,0)),"")</f>
        <v/>
      </c>
      <c r="I113" s="31" t="str">
        <f aca="false">IFERROR(INDEX(Parametros!$C$13:$C$16,MATCH($F113,Parametros!$B$13:$B$16,0)),"")</f>
        <v/>
      </c>
      <c r="J113" s="36" t="str">
        <f aca="false">IFERROR(INDEX(Parametros!$E$13:$E$16,MATCH($F113,Parametros!$B$13:$B$16,0)),"")</f>
        <v/>
      </c>
      <c r="K113" s="33"/>
      <c r="L113" s="34" t="str">
        <f aca="false">IF(OR($K113="",$J113="",$J113=0),"",$K113+$J113)</f>
        <v/>
      </c>
      <c r="M113" s="29"/>
      <c r="N113" s="33"/>
      <c r="O113" s="33"/>
      <c r="P113" s="35" t="str">
        <f aca="false">IFERROR(INDEX(Parametros!$D$13:$D$16,MATCH($F113,Parametros!$B$13:$B$16,0)),"")</f>
        <v/>
      </c>
      <c r="Q113" s="30" t="str">
        <f aca="false">IF($F113="","",IF($F113="D","NAO","SIM"))</f>
        <v/>
      </c>
      <c r="R113" s="35" t="n">
        <f aca="false">IF(AND($M113="VERIFICADO",$Q113="SIM"),$P113,0)</f>
        <v>0</v>
      </c>
    </row>
    <row r="114" customFormat="false" ht="15" hidden="false" customHeight="false" outlineLevel="0" collapsed="false">
      <c r="A114" s="29"/>
      <c r="B114" s="29"/>
      <c r="C114" s="29"/>
      <c r="D114" s="29"/>
      <c r="E114" s="29"/>
      <c r="F114" s="30" t="str">
        <f aca="false">IFERROR(INDEX(Catalogo!$C$2:$C$29,MATCH($E114,Catalogo!$B$2:$B$29,0)),"")</f>
        <v/>
      </c>
      <c r="G114" s="11" t="str">
        <f aca="false">IFERROR(INDEX(Catalogo!$D$2:$D$29,MATCH($E114,Catalogo!$B$2:$B$29,0)),"")</f>
        <v/>
      </c>
      <c r="H114" s="11" t="str">
        <f aca="false">IFERROR(INDEX(Catalogo!$E$2:$E$29,MATCH($E114,Catalogo!$B$2:$B$29,0)),"")</f>
        <v/>
      </c>
      <c r="I114" s="31" t="str">
        <f aca="false">IFERROR(INDEX(Parametros!$C$13:$C$16,MATCH($F114,Parametros!$B$13:$B$16,0)),"")</f>
        <v/>
      </c>
      <c r="J114" s="36" t="str">
        <f aca="false">IFERROR(INDEX(Parametros!$E$13:$E$16,MATCH($F114,Parametros!$B$13:$B$16,0)),"")</f>
        <v/>
      </c>
      <c r="K114" s="33"/>
      <c r="L114" s="34" t="str">
        <f aca="false">IF(OR($K114="",$J114="",$J114=0),"",$K114+$J114)</f>
        <v/>
      </c>
      <c r="M114" s="29"/>
      <c r="N114" s="33"/>
      <c r="O114" s="33"/>
      <c r="P114" s="35" t="str">
        <f aca="false">IFERROR(INDEX(Parametros!$D$13:$D$16,MATCH($F114,Parametros!$B$13:$B$16,0)),"")</f>
        <v/>
      </c>
      <c r="Q114" s="30" t="str">
        <f aca="false">IF($F114="","",IF($F114="D","NAO","SIM"))</f>
        <v/>
      </c>
      <c r="R114" s="35" t="n">
        <f aca="false">IF(AND($M114="VERIFICADO",$Q114="SIM"),$P114,0)</f>
        <v>0</v>
      </c>
    </row>
    <row r="115" customFormat="false" ht="15" hidden="false" customHeight="false" outlineLevel="0" collapsed="false">
      <c r="A115" s="29"/>
      <c r="B115" s="29"/>
      <c r="C115" s="29"/>
      <c r="D115" s="29"/>
      <c r="E115" s="29"/>
      <c r="F115" s="30" t="str">
        <f aca="false">IFERROR(INDEX(Catalogo!$C$2:$C$29,MATCH($E115,Catalogo!$B$2:$B$29,0)),"")</f>
        <v/>
      </c>
      <c r="G115" s="11" t="str">
        <f aca="false">IFERROR(INDEX(Catalogo!$D$2:$D$29,MATCH($E115,Catalogo!$B$2:$B$29,0)),"")</f>
        <v/>
      </c>
      <c r="H115" s="11" t="str">
        <f aca="false">IFERROR(INDEX(Catalogo!$E$2:$E$29,MATCH($E115,Catalogo!$B$2:$B$29,0)),"")</f>
        <v/>
      </c>
      <c r="I115" s="31" t="str">
        <f aca="false">IFERROR(INDEX(Parametros!$C$13:$C$16,MATCH($F115,Parametros!$B$13:$B$16,0)),"")</f>
        <v/>
      </c>
      <c r="J115" s="36" t="str">
        <f aca="false">IFERROR(INDEX(Parametros!$E$13:$E$16,MATCH($F115,Parametros!$B$13:$B$16,0)),"")</f>
        <v/>
      </c>
      <c r="K115" s="33"/>
      <c r="L115" s="34" t="str">
        <f aca="false">IF(OR($K115="",$J115="",$J115=0),"",$K115+$J115)</f>
        <v/>
      </c>
      <c r="M115" s="29"/>
      <c r="N115" s="33"/>
      <c r="O115" s="33"/>
      <c r="P115" s="35" t="str">
        <f aca="false">IFERROR(INDEX(Parametros!$D$13:$D$16,MATCH($F115,Parametros!$B$13:$B$16,0)),"")</f>
        <v/>
      </c>
      <c r="Q115" s="30" t="str">
        <f aca="false">IF($F115="","",IF($F115="D","NAO","SIM"))</f>
        <v/>
      </c>
      <c r="R115" s="35" t="n">
        <f aca="false">IF(AND($M115="VERIFICADO",$Q115="SIM"),$P115,0)</f>
        <v>0</v>
      </c>
    </row>
    <row r="116" customFormat="false" ht="15" hidden="false" customHeight="false" outlineLevel="0" collapsed="false">
      <c r="A116" s="29"/>
      <c r="B116" s="29"/>
      <c r="C116" s="29"/>
      <c r="D116" s="29"/>
      <c r="E116" s="29"/>
      <c r="F116" s="30" t="str">
        <f aca="false">IFERROR(INDEX(Catalogo!$C$2:$C$29,MATCH($E116,Catalogo!$B$2:$B$29,0)),"")</f>
        <v/>
      </c>
      <c r="G116" s="11" t="str">
        <f aca="false">IFERROR(INDEX(Catalogo!$D$2:$D$29,MATCH($E116,Catalogo!$B$2:$B$29,0)),"")</f>
        <v/>
      </c>
      <c r="H116" s="11" t="str">
        <f aca="false">IFERROR(INDEX(Catalogo!$E$2:$E$29,MATCH($E116,Catalogo!$B$2:$B$29,0)),"")</f>
        <v/>
      </c>
      <c r="I116" s="31" t="str">
        <f aca="false">IFERROR(INDEX(Parametros!$C$13:$C$16,MATCH($F116,Parametros!$B$13:$B$16,0)),"")</f>
        <v/>
      </c>
      <c r="J116" s="36" t="str">
        <f aca="false">IFERROR(INDEX(Parametros!$E$13:$E$16,MATCH($F116,Parametros!$B$13:$B$16,0)),"")</f>
        <v/>
      </c>
      <c r="K116" s="33"/>
      <c r="L116" s="34" t="str">
        <f aca="false">IF(OR($K116="",$J116="",$J116=0),"",$K116+$J116)</f>
        <v/>
      </c>
      <c r="M116" s="29"/>
      <c r="N116" s="33"/>
      <c r="O116" s="33"/>
      <c r="P116" s="35" t="str">
        <f aca="false">IFERROR(INDEX(Parametros!$D$13:$D$16,MATCH($F116,Parametros!$B$13:$B$16,0)),"")</f>
        <v/>
      </c>
      <c r="Q116" s="30" t="str">
        <f aca="false">IF($F116="","",IF($F116="D","NAO","SIM"))</f>
        <v/>
      </c>
      <c r="R116" s="35" t="n">
        <f aca="false">IF(AND($M116="VERIFICADO",$Q116="SIM"),$P116,0)</f>
        <v>0</v>
      </c>
    </row>
    <row r="117" customFormat="false" ht="15" hidden="false" customHeight="false" outlineLevel="0" collapsed="false">
      <c r="A117" s="29"/>
      <c r="B117" s="29"/>
      <c r="C117" s="29"/>
      <c r="D117" s="29"/>
      <c r="E117" s="29"/>
      <c r="F117" s="30" t="str">
        <f aca="false">IFERROR(INDEX(Catalogo!$C$2:$C$29,MATCH($E117,Catalogo!$B$2:$B$29,0)),"")</f>
        <v/>
      </c>
      <c r="G117" s="11" t="str">
        <f aca="false">IFERROR(INDEX(Catalogo!$D$2:$D$29,MATCH($E117,Catalogo!$B$2:$B$29,0)),"")</f>
        <v/>
      </c>
      <c r="H117" s="11" t="str">
        <f aca="false">IFERROR(INDEX(Catalogo!$E$2:$E$29,MATCH($E117,Catalogo!$B$2:$B$29,0)),"")</f>
        <v/>
      </c>
      <c r="I117" s="31" t="str">
        <f aca="false">IFERROR(INDEX(Parametros!$C$13:$C$16,MATCH($F117,Parametros!$B$13:$B$16,0)),"")</f>
        <v/>
      </c>
      <c r="J117" s="36" t="str">
        <f aca="false">IFERROR(INDEX(Parametros!$E$13:$E$16,MATCH($F117,Parametros!$B$13:$B$16,0)),"")</f>
        <v/>
      </c>
      <c r="K117" s="33"/>
      <c r="L117" s="34" t="str">
        <f aca="false">IF(OR($K117="",$J117="",$J117=0),"",$K117+$J117)</f>
        <v/>
      </c>
      <c r="M117" s="29"/>
      <c r="N117" s="33"/>
      <c r="O117" s="33"/>
      <c r="P117" s="35" t="str">
        <f aca="false">IFERROR(INDEX(Parametros!$D$13:$D$16,MATCH($F117,Parametros!$B$13:$B$16,0)),"")</f>
        <v/>
      </c>
      <c r="Q117" s="30" t="str">
        <f aca="false">IF($F117="","",IF($F117="D","NAO","SIM"))</f>
        <v/>
      </c>
      <c r="R117" s="35" t="n">
        <f aca="false">IF(AND($M117="VERIFICADO",$Q117="SIM"),$P117,0)</f>
        <v>0</v>
      </c>
    </row>
    <row r="118" customFormat="false" ht="15" hidden="false" customHeight="false" outlineLevel="0" collapsed="false">
      <c r="A118" s="29"/>
      <c r="B118" s="29"/>
      <c r="C118" s="29"/>
      <c r="D118" s="29"/>
      <c r="E118" s="29"/>
      <c r="F118" s="30" t="str">
        <f aca="false">IFERROR(INDEX(Catalogo!$C$2:$C$29,MATCH($E118,Catalogo!$B$2:$B$29,0)),"")</f>
        <v/>
      </c>
      <c r="G118" s="11" t="str">
        <f aca="false">IFERROR(INDEX(Catalogo!$D$2:$D$29,MATCH($E118,Catalogo!$B$2:$B$29,0)),"")</f>
        <v/>
      </c>
      <c r="H118" s="11" t="str">
        <f aca="false">IFERROR(INDEX(Catalogo!$E$2:$E$29,MATCH($E118,Catalogo!$B$2:$B$29,0)),"")</f>
        <v/>
      </c>
      <c r="I118" s="31" t="str">
        <f aca="false">IFERROR(INDEX(Parametros!$C$13:$C$16,MATCH($F118,Parametros!$B$13:$B$16,0)),"")</f>
        <v/>
      </c>
      <c r="J118" s="36" t="str">
        <f aca="false">IFERROR(INDEX(Parametros!$E$13:$E$16,MATCH($F118,Parametros!$B$13:$B$16,0)),"")</f>
        <v/>
      </c>
      <c r="K118" s="33"/>
      <c r="L118" s="34" t="str">
        <f aca="false">IF(OR($K118="",$J118="",$J118=0),"",$K118+$J118)</f>
        <v/>
      </c>
      <c r="M118" s="29"/>
      <c r="N118" s="33"/>
      <c r="O118" s="33"/>
      <c r="P118" s="35" t="str">
        <f aca="false">IFERROR(INDEX(Parametros!$D$13:$D$16,MATCH($F118,Parametros!$B$13:$B$16,0)),"")</f>
        <v/>
      </c>
      <c r="Q118" s="30" t="str">
        <f aca="false">IF($F118="","",IF($F118="D","NAO","SIM"))</f>
        <v/>
      </c>
      <c r="R118" s="35" t="n">
        <f aca="false">IF(AND($M118="VERIFICADO",$Q118="SIM"),$P118,0)</f>
        <v>0</v>
      </c>
    </row>
    <row r="119" customFormat="false" ht="15" hidden="false" customHeight="false" outlineLevel="0" collapsed="false">
      <c r="A119" s="29"/>
      <c r="B119" s="29"/>
      <c r="C119" s="29"/>
      <c r="D119" s="29"/>
      <c r="E119" s="29"/>
      <c r="F119" s="30" t="str">
        <f aca="false">IFERROR(INDEX(Catalogo!$C$2:$C$29,MATCH($E119,Catalogo!$B$2:$B$29,0)),"")</f>
        <v/>
      </c>
      <c r="G119" s="11" t="str">
        <f aca="false">IFERROR(INDEX(Catalogo!$D$2:$D$29,MATCH($E119,Catalogo!$B$2:$B$29,0)),"")</f>
        <v/>
      </c>
      <c r="H119" s="11" t="str">
        <f aca="false">IFERROR(INDEX(Catalogo!$E$2:$E$29,MATCH($E119,Catalogo!$B$2:$B$29,0)),"")</f>
        <v/>
      </c>
      <c r="I119" s="31" t="str">
        <f aca="false">IFERROR(INDEX(Parametros!$C$13:$C$16,MATCH($F119,Parametros!$B$13:$B$16,0)),"")</f>
        <v/>
      </c>
      <c r="J119" s="36" t="str">
        <f aca="false">IFERROR(INDEX(Parametros!$E$13:$E$16,MATCH($F119,Parametros!$B$13:$B$16,0)),"")</f>
        <v/>
      </c>
      <c r="K119" s="33"/>
      <c r="L119" s="34" t="str">
        <f aca="false">IF(OR($K119="",$J119="",$J119=0),"",$K119+$J119)</f>
        <v/>
      </c>
      <c r="M119" s="29"/>
      <c r="N119" s="33"/>
      <c r="O119" s="33"/>
      <c r="P119" s="35" t="str">
        <f aca="false">IFERROR(INDEX(Parametros!$D$13:$D$16,MATCH($F119,Parametros!$B$13:$B$16,0)),"")</f>
        <v/>
      </c>
      <c r="Q119" s="30" t="str">
        <f aca="false">IF($F119="","",IF($F119="D","NAO","SIM"))</f>
        <v/>
      </c>
      <c r="R119" s="35" t="n">
        <f aca="false">IF(AND($M119="VERIFICADO",$Q119="SIM"),$P119,0)</f>
        <v>0</v>
      </c>
    </row>
    <row r="120" customFormat="false" ht="15" hidden="false" customHeight="false" outlineLevel="0" collapsed="false">
      <c r="A120" s="29"/>
      <c r="B120" s="29"/>
      <c r="C120" s="29"/>
      <c r="D120" s="29"/>
      <c r="E120" s="29"/>
      <c r="F120" s="30" t="str">
        <f aca="false">IFERROR(INDEX(Catalogo!$C$2:$C$29,MATCH($E120,Catalogo!$B$2:$B$29,0)),"")</f>
        <v/>
      </c>
      <c r="G120" s="11" t="str">
        <f aca="false">IFERROR(INDEX(Catalogo!$D$2:$D$29,MATCH($E120,Catalogo!$B$2:$B$29,0)),"")</f>
        <v/>
      </c>
      <c r="H120" s="11" t="str">
        <f aca="false">IFERROR(INDEX(Catalogo!$E$2:$E$29,MATCH($E120,Catalogo!$B$2:$B$29,0)),"")</f>
        <v/>
      </c>
      <c r="I120" s="31" t="str">
        <f aca="false">IFERROR(INDEX(Parametros!$C$13:$C$16,MATCH($F120,Parametros!$B$13:$B$16,0)),"")</f>
        <v/>
      </c>
      <c r="J120" s="36" t="str">
        <f aca="false">IFERROR(INDEX(Parametros!$E$13:$E$16,MATCH($F120,Parametros!$B$13:$B$16,0)),"")</f>
        <v/>
      </c>
      <c r="K120" s="33"/>
      <c r="L120" s="34" t="str">
        <f aca="false">IF(OR($K120="",$J120="",$J120=0),"",$K120+$J120)</f>
        <v/>
      </c>
      <c r="M120" s="29"/>
      <c r="N120" s="33"/>
      <c r="O120" s="33"/>
      <c r="P120" s="35" t="str">
        <f aca="false">IFERROR(INDEX(Parametros!$D$13:$D$16,MATCH($F120,Parametros!$B$13:$B$16,0)),"")</f>
        <v/>
      </c>
      <c r="Q120" s="30" t="str">
        <f aca="false">IF($F120="","",IF($F120="D","NAO","SIM"))</f>
        <v/>
      </c>
      <c r="R120" s="35" t="n">
        <f aca="false">IF(AND($M120="VERIFICADO",$Q120="SIM"),$P120,0)</f>
        <v>0</v>
      </c>
    </row>
    <row r="121" customFormat="false" ht="15" hidden="false" customHeight="false" outlineLevel="0" collapsed="false">
      <c r="A121" s="29"/>
      <c r="B121" s="29"/>
      <c r="C121" s="29"/>
      <c r="D121" s="29"/>
      <c r="E121" s="29"/>
      <c r="F121" s="30" t="str">
        <f aca="false">IFERROR(INDEX(Catalogo!$C$2:$C$29,MATCH($E121,Catalogo!$B$2:$B$29,0)),"")</f>
        <v/>
      </c>
      <c r="G121" s="11" t="str">
        <f aca="false">IFERROR(INDEX(Catalogo!$D$2:$D$29,MATCH($E121,Catalogo!$B$2:$B$29,0)),"")</f>
        <v/>
      </c>
      <c r="H121" s="11" t="str">
        <f aca="false">IFERROR(INDEX(Catalogo!$E$2:$E$29,MATCH($E121,Catalogo!$B$2:$B$29,0)),"")</f>
        <v/>
      </c>
      <c r="I121" s="31" t="str">
        <f aca="false">IFERROR(INDEX(Parametros!$C$13:$C$16,MATCH($F121,Parametros!$B$13:$B$16,0)),"")</f>
        <v/>
      </c>
      <c r="J121" s="36" t="str">
        <f aca="false">IFERROR(INDEX(Parametros!$E$13:$E$16,MATCH($F121,Parametros!$B$13:$B$16,0)),"")</f>
        <v/>
      </c>
      <c r="K121" s="33"/>
      <c r="L121" s="34" t="str">
        <f aca="false">IF(OR($K121="",$J121="",$J121=0),"",$K121+$J121)</f>
        <v/>
      </c>
      <c r="M121" s="29"/>
      <c r="N121" s="33"/>
      <c r="O121" s="33"/>
      <c r="P121" s="35" t="str">
        <f aca="false">IFERROR(INDEX(Parametros!$D$13:$D$16,MATCH($F121,Parametros!$B$13:$B$16,0)),"")</f>
        <v/>
      </c>
      <c r="Q121" s="30" t="str">
        <f aca="false">IF($F121="","",IF($F121="D","NAO","SIM"))</f>
        <v/>
      </c>
      <c r="R121" s="35" t="n">
        <f aca="false">IF(AND($M121="VERIFICADO",$Q121="SIM"),$P121,0)</f>
        <v>0</v>
      </c>
    </row>
    <row r="122" customFormat="false" ht="15" hidden="false" customHeight="false" outlineLevel="0" collapsed="false">
      <c r="A122" s="29"/>
      <c r="B122" s="29"/>
      <c r="C122" s="29"/>
      <c r="D122" s="29"/>
      <c r="E122" s="29"/>
      <c r="F122" s="30" t="str">
        <f aca="false">IFERROR(INDEX(Catalogo!$C$2:$C$29,MATCH($E122,Catalogo!$B$2:$B$29,0)),"")</f>
        <v/>
      </c>
      <c r="G122" s="11" t="str">
        <f aca="false">IFERROR(INDEX(Catalogo!$D$2:$D$29,MATCH($E122,Catalogo!$B$2:$B$29,0)),"")</f>
        <v/>
      </c>
      <c r="H122" s="11" t="str">
        <f aca="false">IFERROR(INDEX(Catalogo!$E$2:$E$29,MATCH($E122,Catalogo!$B$2:$B$29,0)),"")</f>
        <v/>
      </c>
      <c r="I122" s="31" t="str">
        <f aca="false">IFERROR(INDEX(Parametros!$C$13:$C$16,MATCH($F122,Parametros!$B$13:$B$16,0)),"")</f>
        <v/>
      </c>
      <c r="J122" s="36" t="str">
        <f aca="false">IFERROR(INDEX(Parametros!$E$13:$E$16,MATCH($F122,Parametros!$B$13:$B$16,0)),"")</f>
        <v/>
      </c>
      <c r="K122" s="33"/>
      <c r="L122" s="34" t="str">
        <f aca="false">IF(OR($K122="",$J122="",$J122=0),"",$K122+$J122)</f>
        <v/>
      </c>
      <c r="M122" s="29"/>
      <c r="N122" s="33"/>
      <c r="O122" s="33"/>
      <c r="P122" s="35" t="str">
        <f aca="false">IFERROR(INDEX(Parametros!$D$13:$D$16,MATCH($F122,Parametros!$B$13:$B$16,0)),"")</f>
        <v/>
      </c>
      <c r="Q122" s="30" t="str">
        <f aca="false">IF($F122="","",IF($F122="D","NAO","SIM"))</f>
        <v/>
      </c>
      <c r="R122" s="35" t="n">
        <f aca="false">IF(AND($M122="VERIFICADO",$Q122="SIM"),$P122,0)</f>
        <v>0</v>
      </c>
    </row>
    <row r="123" customFormat="false" ht="15" hidden="false" customHeight="false" outlineLevel="0" collapsed="false">
      <c r="A123" s="29"/>
      <c r="B123" s="29"/>
      <c r="C123" s="29"/>
      <c r="D123" s="29"/>
      <c r="E123" s="29"/>
      <c r="F123" s="30" t="str">
        <f aca="false">IFERROR(INDEX(Catalogo!$C$2:$C$29,MATCH($E123,Catalogo!$B$2:$B$29,0)),"")</f>
        <v/>
      </c>
      <c r="G123" s="11" t="str">
        <f aca="false">IFERROR(INDEX(Catalogo!$D$2:$D$29,MATCH($E123,Catalogo!$B$2:$B$29,0)),"")</f>
        <v/>
      </c>
      <c r="H123" s="11" t="str">
        <f aca="false">IFERROR(INDEX(Catalogo!$E$2:$E$29,MATCH($E123,Catalogo!$B$2:$B$29,0)),"")</f>
        <v/>
      </c>
      <c r="I123" s="31" t="str">
        <f aca="false">IFERROR(INDEX(Parametros!$C$13:$C$16,MATCH($F123,Parametros!$B$13:$B$16,0)),"")</f>
        <v/>
      </c>
      <c r="J123" s="36" t="str">
        <f aca="false">IFERROR(INDEX(Parametros!$E$13:$E$16,MATCH($F123,Parametros!$B$13:$B$16,0)),"")</f>
        <v/>
      </c>
      <c r="K123" s="33"/>
      <c r="L123" s="34" t="str">
        <f aca="false">IF(OR($K123="",$J123="",$J123=0),"",$K123+$J123)</f>
        <v/>
      </c>
      <c r="M123" s="29"/>
      <c r="N123" s="33"/>
      <c r="O123" s="33"/>
      <c r="P123" s="35" t="str">
        <f aca="false">IFERROR(INDEX(Parametros!$D$13:$D$16,MATCH($F123,Parametros!$B$13:$B$16,0)),"")</f>
        <v/>
      </c>
      <c r="Q123" s="30" t="str">
        <f aca="false">IF($F123="","",IF($F123="D","NAO","SIM"))</f>
        <v/>
      </c>
      <c r="R123" s="35" t="n">
        <f aca="false">IF(AND($M123="VERIFICADO",$Q123="SIM"),$P123,0)</f>
        <v>0</v>
      </c>
    </row>
    <row r="124" customFormat="false" ht="15" hidden="false" customHeight="false" outlineLevel="0" collapsed="false">
      <c r="A124" s="29"/>
      <c r="B124" s="29"/>
      <c r="C124" s="29"/>
      <c r="D124" s="29"/>
      <c r="E124" s="29"/>
      <c r="F124" s="30" t="str">
        <f aca="false">IFERROR(INDEX(Catalogo!$C$2:$C$29,MATCH($E124,Catalogo!$B$2:$B$29,0)),"")</f>
        <v/>
      </c>
      <c r="G124" s="11" t="str">
        <f aca="false">IFERROR(INDEX(Catalogo!$D$2:$D$29,MATCH($E124,Catalogo!$B$2:$B$29,0)),"")</f>
        <v/>
      </c>
      <c r="H124" s="11" t="str">
        <f aca="false">IFERROR(INDEX(Catalogo!$E$2:$E$29,MATCH($E124,Catalogo!$B$2:$B$29,0)),"")</f>
        <v/>
      </c>
      <c r="I124" s="31" t="str">
        <f aca="false">IFERROR(INDEX(Parametros!$C$13:$C$16,MATCH($F124,Parametros!$B$13:$B$16,0)),"")</f>
        <v/>
      </c>
      <c r="J124" s="36" t="str">
        <f aca="false">IFERROR(INDEX(Parametros!$E$13:$E$16,MATCH($F124,Parametros!$B$13:$B$16,0)),"")</f>
        <v/>
      </c>
      <c r="K124" s="33"/>
      <c r="L124" s="34" t="str">
        <f aca="false">IF(OR($K124="",$J124="",$J124=0),"",$K124+$J124)</f>
        <v/>
      </c>
      <c r="M124" s="29"/>
      <c r="N124" s="33"/>
      <c r="O124" s="33"/>
      <c r="P124" s="35" t="str">
        <f aca="false">IFERROR(INDEX(Parametros!$D$13:$D$16,MATCH($F124,Parametros!$B$13:$B$16,0)),"")</f>
        <v/>
      </c>
      <c r="Q124" s="30" t="str">
        <f aca="false">IF($F124="","",IF($F124="D","NAO","SIM"))</f>
        <v/>
      </c>
      <c r="R124" s="35" t="n">
        <f aca="false">IF(AND($M124="VERIFICADO",$Q124="SIM"),$P124,0)</f>
        <v>0</v>
      </c>
    </row>
    <row r="125" customFormat="false" ht="15" hidden="false" customHeight="false" outlineLevel="0" collapsed="false">
      <c r="A125" s="29"/>
      <c r="B125" s="29"/>
      <c r="C125" s="29"/>
      <c r="D125" s="29"/>
      <c r="E125" s="29"/>
      <c r="F125" s="30" t="str">
        <f aca="false">IFERROR(INDEX(Catalogo!$C$2:$C$29,MATCH($E125,Catalogo!$B$2:$B$29,0)),"")</f>
        <v/>
      </c>
      <c r="G125" s="11" t="str">
        <f aca="false">IFERROR(INDEX(Catalogo!$D$2:$D$29,MATCH($E125,Catalogo!$B$2:$B$29,0)),"")</f>
        <v/>
      </c>
      <c r="H125" s="11" t="str">
        <f aca="false">IFERROR(INDEX(Catalogo!$E$2:$E$29,MATCH($E125,Catalogo!$B$2:$B$29,0)),"")</f>
        <v/>
      </c>
      <c r="I125" s="31" t="str">
        <f aca="false">IFERROR(INDEX(Parametros!$C$13:$C$16,MATCH($F125,Parametros!$B$13:$B$16,0)),"")</f>
        <v/>
      </c>
      <c r="J125" s="36" t="str">
        <f aca="false">IFERROR(INDEX(Parametros!$E$13:$E$16,MATCH($F125,Parametros!$B$13:$B$16,0)),"")</f>
        <v/>
      </c>
      <c r="K125" s="33"/>
      <c r="L125" s="34" t="str">
        <f aca="false">IF(OR($K125="",$J125="",$J125=0),"",$K125+$J125)</f>
        <v/>
      </c>
      <c r="M125" s="29"/>
      <c r="N125" s="33"/>
      <c r="O125" s="33"/>
      <c r="P125" s="35" t="str">
        <f aca="false">IFERROR(INDEX(Parametros!$D$13:$D$16,MATCH($F125,Parametros!$B$13:$B$16,0)),"")</f>
        <v/>
      </c>
      <c r="Q125" s="30" t="str">
        <f aca="false">IF($F125="","",IF($F125="D","NAO","SIM"))</f>
        <v/>
      </c>
      <c r="R125" s="35" t="n">
        <f aca="false">IF(AND($M125="VERIFICADO",$Q125="SIM"),$P125,0)</f>
        <v>0</v>
      </c>
    </row>
    <row r="126" customFormat="false" ht="15" hidden="false" customHeight="false" outlineLevel="0" collapsed="false">
      <c r="A126" s="29"/>
      <c r="B126" s="29"/>
      <c r="C126" s="29"/>
      <c r="D126" s="29"/>
      <c r="E126" s="29"/>
      <c r="F126" s="30" t="str">
        <f aca="false">IFERROR(INDEX(Catalogo!$C$2:$C$29,MATCH($E126,Catalogo!$B$2:$B$29,0)),"")</f>
        <v/>
      </c>
      <c r="G126" s="11" t="str">
        <f aca="false">IFERROR(INDEX(Catalogo!$D$2:$D$29,MATCH($E126,Catalogo!$B$2:$B$29,0)),"")</f>
        <v/>
      </c>
      <c r="H126" s="11" t="str">
        <f aca="false">IFERROR(INDEX(Catalogo!$E$2:$E$29,MATCH($E126,Catalogo!$B$2:$B$29,0)),"")</f>
        <v/>
      </c>
      <c r="I126" s="31" t="str">
        <f aca="false">IFERROR(INDEX(Parametros!$C$13:$C$16,MATCH($F126,Parametros!$B$13:$B$16,0)),"")</f>
        <v/>
      </c>
      <c r="J126" s="36" t="str">
        <f aca="false">IFERROR(INDEX(Parametros!$E$13:$E$16,MATCH($F126,Parametros!$B$13:$B$16,0)),"")</f>
        <v/>
      </c>
      <c r="K126" s="33"/>
      <c r="L126" s="34" t="str">
        <f aca="false">IF(OR($K126="",$J126="",$J126=0),"",$K126+$J126)</f>
        <v/>
      </c>
      <c r="M126" s="29"/>
      <c r="N126" s="33"/>
      <c r="O126" s="33"/>
      <c r="P126" s="35" t="str">
        <f aca="false">IFERROR(INDEX(Parametros!$D$13:$D$16,MATCH($F126,Parametros!$B$13:$B$16,0)),"")</f>
        <v/>
      </c>
      <c r="Q126" s="30" t="str">
        <f aca="false">IF($F126="","",IF($F126="D","NAO","SIM"))</f>
        <v/>
      </c>
      <c r="R126" s="35" t="n">
        <f aca="false">IF(AND($M126="VERIFICADO",$Q126="SIM"),$P126,0)</f>
        <v>0</v>
      </c>
    </row>
    <row r="127" customFormat="false" ht="15" hidden="false" customHeight="false" outlineLevel="0" collapsed="false">
      <c r="A127" s="29"/>
      <c r="B127" s="29"/>
      <c r="C127" s="29"/>
      <c r="D127" s="29"/>
      <c r="E127" s="29"/>
      <c r="F127" s="30" t="str">
        <f aca="false">IFERROR(INDEX(Catalogo!$C$2:$C$29,MATCH($E127,Catalogo!$B$2:$B$29,0)),"")</f>
        <v/>
      </c>
      <c r="G127" s="11" t="str">
        <f aca="false">IFERROR(INDEX(Catalogo!$D$2:$D$29,MATCH($E127,Catalogo!$B$2:$B$29,0)),"")</f>
        <v/>
      </c>
      <c r="H127" s="11" t="str">
        <f aca="false">IFERROR(INDEX(Catalogo!$E$2:$E$29,MATCH($E127,Catalogo!$B$2:$B$29,0)),"")</f>
        <v/>
      </c>
      <c r="I127" s="31" t="str">
        <f aca="false">IFERROR(INDEX(Parametros!$C$13:$C$16,MATCH($F127,Parametros!$B$13:$B$16,0)),"")</f>
        <v/>
      </c>
      <c r="J127" s="36" t="str">
        <f aca="false">IFERROR(INDEX(Parametros!$E$13:$E$16,MATCH($F127,Parametros!$B$13:$B$16,0)),"")</f>
        <v/>
      </c>
      <c r="K127" s="33"/>
      <c r="L127" s="34" t="str">
        <f aca="false">IF(OR($K127="",$J127="",$J127=0),"",$K127+$J127)</f>
        <v/>
      </c>
      <c r="M127" s="29"/>
      <c r="N127" s="33"/>
      <c r="O127" s="33"/>
      <c r="P127" s="35" t="str">
        <f aca="false">IFERROR(INDEX(Parametros!$D$13:$D$16,MATCH($F127,Parametros!$B$13:$B$16,0)),"")</f>
        <v/>
      </c>
      <c r="Q127" s="30" t="str">
        <f aca="false">IF($F127="","",IF($F127="D","NAO","SIM"))</f>
        <v/>
      </c>
      <c r="R127" s="35" t="n">
        <f aca="false">IF(AND($M127="VERIFICADO",$Q127="SIM"),$P127,0)</f>
        <v>0</v>
      </c>
    </row>
    <row r="128" customFormat="false" ht="15" hidden="false" customHeight="false" outlineLevel="0" collapsed="false">
      <c r="A128" s="29"/>
      <c r="B128" s="29"/>
      <c r="C128" s="29"/>
      <c r="D128" s="29"/>
      <c r="E128" s="29"/>
      <c r="F128" s="30" t="str">
        <f aca="false">IFERROR(INDEX(Catalogo!$C$2:$C$29,MATCH($E128,Catalogo!$B$2:$B$29,0)),"")</f>
        <v/>
      </c>
      <c r="G128" s="11" t="str">
        <f aca="false">IFERROR(INDEX(Catalogo!$D$2:$D$29,MATCH($E128,Catalogo!$B$2:$B$29,0)),"")</f>
        <v/>
      </c>
      <c r="H128" s="11" t="str">
        <f aca="false">IFERROR(INDEX(Catalogo!$E$2:$E$29,MATCH($E128,Catalogo!$B$2:$B$29,0)),"")</f>
        <v/>
      </c>
      <c r="I128" s="31" t="str">
        <f aca="false">IFERROR(INDEX(Parametros!$C$13:$C$16,MATCH($F128,Parametros!$B$13:$B$16,0)),"")</f>
        <v/>
      </c>
      <c r="J128" s="36" t="str">
        <f aca="false">IFERROR(INDEX(Parametros!$E$13:$E$16,MATCH($F128,Parametros!$B$13:$B$16,0)),"")</f>
        <v/>
      </c>
      <c r="K128" s="33"/>
      <c r="L128" s="34" t="str">
        <f aca="false">IF(OR($K128="",$J128="",$J128=0),"",$K128+$J128)</f>
        <v/>
      </c>
      <c r="M128" s="29"/>
      <c r="N128" s="33"/>
      <c r="O128" s="33"/>
      <c r="P128" s="35" t="str">
        <f aca="false">IFERROR(INDEX(Parametros!$D$13:$D$16,MATCH($F128,Parametros!$B$13:$B$16,0)),"")</f>
        <v/>
      </c>
      <c r="Q128" s="30" t="str">
        <f aca="false">IF($F128="","",IF($F128="D","NAO","SIM"))</f>
        <v/>
      </c>
      <c r="R128" s="35" t="n">
        <f aca="false">IF(AND($M128="VERIFICADO",$Q128="SIM"),$P128,0)</f>
        <v>0</v>
      </c>
    </row>
    <row r="129" customFormat="false" ht="15" hidden="false" customHeight="false" outlineLevel="0" collapsed="false">
      <c r="A129" s="29"/>
      <c r="B129" s="29"/>
      <c r="C129" s="29"/>
      <c r="D129" s="29"/>
      <c r="E129" s="29"/>
      <c r="F129" s="30" t="str">
        <f aca="false">IFERROR(INDEX(Catalogo!$C$2:$C$29,MATCH($E129,Catalogo!$B$2:$B$29,0)),"")</f>
        <v/>
      </c>
      <c r="G129" s="11" t="str">
        <f aca="false">IFERROR(INDEX(Catalogo!$D$2:$D$29,MATCH($E129,Catalogo!$B$2:$B$29,0)),"")</f>
        <v/>
      </c>
      <c r="H129" s="11" t="str">
        <f aca="false">IFERROR(INDEX(Catalogo!$E$2:$E$29,MATCH($E129,Catalogo!$B$2:$B$29,0)),"")</f>
        <v/>
      </c>
      <c r="I129" s="31" t="str">
        <f aca="false">IFERROR(INDEX(Parametros!$C$13:$C$16,MATCH($F129,Parametros!$B$13:$B$16,0)),"")</f>
        <v/>
      </c>
      <c r="J129" s="36" t="str">
        <f aca="false">IFERROR(INDEX(Parametros!$E$13:$E$16,MATCH($F129,Parametros!$B$13:$B$16,0)),"")</f>
        <v/>
      </c>
      <c r="K129" s="33"/>
      <c r="L129" s="34" t="str">
        <f aca="false">IF(OR($K129="",$J129="",$J129=0),"",$K129+$J129)</f>
        <v/>
      </c>
      <c r="M129" s="29"/>
      <c r="N129" s="33"/>
      <c r="O129" s="33"/>
      <c r="P129" s="35" t="str">
        <f aca="false">IFERROR(INDEX(Parametros!$D$13:$D$16,MATCH($F129,Parametros!$B$13:$B$16,0)),"")</f>
        <v/>
      </c>
      <c r="Q129" s="30" t="str">
        <f aca="false">IF($F129="","",IF($F129="D","NAO","SIM"))</f>
        <v/>
      </c>
      <c r="R129" s="35" t="n">
        <f aca="false">IF(AND($M129="VERIFICADO",$Q129="SIM"),$P129,0)</f>
        <v>0</v>
      </c>
    </row>
    <row r="130" customFormat="false" ht="15" hidden="false" customHeight="false" outlineLevel="0" collapsed="false">
      <c r="A130" s="29"/>
      <c r="B130" s="29"/>
      <c r="C130" s="29"/>
      <c r="D130" s="29"/>
      <c r="E130" s="29"/>
      <c r="F130" s="30" t="str">
        <f aca="false">IFERROR(INDEX(Catalogo!$C$2:$C$29,MATCH($E130,Catalogo!$B$2:$B$29,0)),"")</f>
        <v/>
      </c>
      <c r="G130" s="11" t="str">
        <f aca="false">IFERROR(INDEX(Catalogo!$D$2:$D$29,MATCH($E130,Catalogo!$B$2:$B$29,0)),"")</f>
        <v/>
      </c>
      <c r="H130" s="11" t="str">
        <f aca="false">IFERROR(INDEX(Catalogo!$E$2:$E$29,MATCH($E130,Catalogo!$B$2:$B$29,0)),"")</f>
        <v/>
      </c>
      <c r="I130" s="31" t="str">
        <f aca="false">IFERROR(INDEX(Parametros!$C$13:$C$16,MATCH($F130,Parametros!$B$13:$B$16,0)),"")</f>
        <v/>
      </c>
      <c r="J130" s="36" t="str">
        <f aca="false">IFERROR(INDEX(Parametros!$E$13:$E$16,MATCH($F130,Parametros!$B$13:$B$16,0)),"")</f>
        <v/>
      </c>
      <c r="K130" s="33"/>
      <c r="L130" s="34" t="str">
        <f aca="false">IF(OR($K130="",$J130="",$J130=0),"",$K130+$J130)</f>
        <v/>
      </c>
      <c r="M130" s="29"/>
      <c r="N130" s="33"/>
      <c r="O130" s="33"/>
      <c r="P130" s="35" t="str">
        <f aca="false">IFERROR(INDEX(Parametros!$D$13:$D$16,MATCH($F130,Parametros!$B$13:$B$16,0)),"")</f>
        <v/>
      </c>
      <c r="Q130" s="30" t="str">
        <f aca="false">IF($F130="","",IF($F130="D","NAO","SIM"))</f>
        <v/>
      </c>
      <c r="R130" s="35" t="n">
        <f aca="false">IF(AND($M130="VERIFICADO",$Q130="SIM"),$P130,0)</f>
        <v>0</v>
      </c>
    </row>
    <row r="131" customFormat="false" ht="15" hidden="false" customHeight="false" outlineLevel="0" collapsed="false">
      <c r="A131" s="29"/>
      <c r="B131" s="29"/>
      <c r="C131" s="29"/>
      <c r="D131" s="29"/>
      <c r="E131" s="29"/>
      <c r="F131" s="30" t="str">
        <f aca="false">IFERROR(INDEX(Catalogo!$C$2:$C$29,MATCH($E131,Catalogo!$B$2:$B$29,0)),"")</f>
        <v/>
      </c>
      <c r="G131" s="11" t="str">
        <f aca="false">IFERROR(INDEX(Catalogo!$D$2:$D$29,MATCH($E131,Catalogo!$B$2:$B$29,0)),"")</f>
        <v/>
      </c>
      <c r="H131" s="11" t="str">
        <f aca="false">IFERROR(INDEX(Catalogo!$E$2:$E$29,MATCH($E131,Catalogo!$B$2:$B$29,0)),"")</f>
        <v/>
      </c>
      <c r="I131" s="31" t="str">
        <f aca="false">IFERROR(INDEX(Parametros!$C$13:$C$16,MATCH($F131,Parametros!$B$13:$B$16,0)),"")</f>
        <v/>
      </c>
      <c r="J131" s="36" t="str">
        <f aca="false">IFERROR(INDEX(Parametros!$E$13:$E$16,MATCH($F131,Parametros!$B$13:$B$16,0)),"")</f>
        <v/>
      </c>
      <c r="K131" s="33"/>
      <c r="L131" s="34" t="str">
        <f aca="false">IF(OR($K131="",$J131="",$J131=0),"",$K131+$J131)</f>
        <v/>
      </c>
      <c r="M131" s="29"/>
      <c r="N131" s="33"/>
      <c r="O131" s="33"/>
      <c r="P131" s="35" t="str">
        <f aca="false">IFERROR(INDEX(Parametros!$D$13:$D$16,MATCH($F131,Parametros!$B$13:$B$16,0)),"")</f>
        <v/>
      </c>
      <c r="Q131" s="30" t="str">
        <f aca="false">IF($F131="","",IF($F131="D","NAO","SIM"))</f>
        <v/>
      </c>
      <c r="R131" s="35" t="n">
        <f aca="false">IF(AND($M131="VERIFICADO",$Q131="SIM"),$P131,0)</f>
        <v>0</v>
      </c>
    </row>
    <row r="132" customFormat="false" ht="15" hidden="false" customHeight="false" outlineLevel="0" collapsed="false">
      <c r="A132" s="29"/>
      <c r="B132" s="29"/>
      <c r="C132" s="29"/>
      <c r="D132" s="29"/>
      <c r="E132" s="29"/>
      <c r="F132" s="30" t="str">
        <f aca="false">IFERROR(INDEX(Catalogo!$C$2:$C$29,MATCH($E132,Catalogo!$B$2:$B$29,0)),"")</f>
        <v/>
      </c>
      <c r="G132" s="11" t="str">
        <f aca="false">IFERROR(INDEX(Catalogo!$D$2:$D$29,MATCH($E132,Catalogo!$B$2:$B$29,0)),"")</f>
        <v/>
      </c>
      <c r="H132" s="11" t="str">
        <f aca="false">IFERROR(INDEX(Catalogo!$E$2:$E$29,MATCH($E132,Catalogo!$B$2:$B$29,0)),"")</f>
        <v/>
      </c>
      <c r="I132" s="31" t="str">
        <f aca="false">IFERROR(INDEX(Parametros!$C$13:$C$16,MATCH($F132,Parametros!$B$13:$B$16,0)),"")</f>
        <v/>
      </c>
      <c r="J132" s="36" t="str">
        <f aca="false">IFERROR(INDEX(Parametros!$E$13:$E$16,MATCH($F132,Parametros!$B$13:$B$16,0)),"")</f>
        <v/>
      </c>
      <c r="K132" s="33"/>
      <c r="L132" s="34" t="str">
        <f aca="false">IF(OR($K132="",$J132="",$J132=0),"",$K132+$J132)</f>
        <v/>
      </c>
      <c r="M132" s="29"/>
      <c r="N132" s="33"/>
      <c r="O132" s="33"/>
      <c r="P132" s="35" t="str">
        <f aca="false">IFERROR(INDEX(Parametros!$D$13:$D$16,MATCH($F132,Parametros!$B$13:$B$16,0)),"")</f>
        <v/>
      </c>
      <c r="Q132" s="30" t="str">
        <f aca="false">IF($F132="","",IF($F132="D","NAO","SIM"))</f>
        <v/>
      </c>
      <c r="R132" s="35" t="n">
        <f aca="false">IF(AND($M132="VERIFICADO",$Q132="SIM"),$P132,0)</f>
        <v>0</v>
      </c>
    </row>
    <row r="133" customFormat="false" ht="15" hidden="false" customHeight="false" outlineLevel="0" collapsed="false">
      <c r="A133" s="29"/>
      <c r="B133" s="29"/>
      <c r="C133" s="29"/>
      <c r="D133" s="29"/>
      <c r="E133" s="29"/>
      <c r="F133" s="30" t="str">
        <f aca="false">IFERROR(INDEX(Catalogo!$C$2:$C$29,MATCH($E133,Catalogo!$B$2:$B$29,0)),"")</f>
        <v/>
      </c>
      <c r="G133" s="11" t="str">
        <f aca="false">IFERROR(INDEX(Catalogo!$D$2:$D$29,MATCH($E133,Catalogo!$B$2:$B$29,0)),"")</f>
        <v/>
      </c>
      <c r="H133" s="11" t="str">
        <f aca="false">IFERROR(INDEX(Catalogo!$E$2:$E$29,MATCH($E133,Catalogo!$B$2:$B$29,0)),"")</f>
        <v/>
      </c>
      <c r="I133" s="31" t="str">
        <f aca="false">IFERROR(INDEX(Parametros!$C$13:$C$16,MATCH($F133,Parametros!$B$13:$B$16,0)),"")</f>
        <v/>
      </c>
      <c r="J133" s="36" t="str">
        <f aca="false">IFERROR(INDEX(Parametros!$E$13:$E$16,MATCH($F133,Parametros!$B$13:$B$16,0)),"")</f>
        <v/>
      </c>
      <c r="K133" s="33"/>
      <c r="L133" s="34" t="str">
        <f aca="false">IF(OR($K133="",$J133="",$J133=0),"",$K133+$J133)</f>
        <v/>
      </c>
      <c r="M133" s="29"/>
      <c r="N133" s="33"/>
      <c r="O133" s="33"/>
      <c r="P133" s="35" t="str">
        <f aca="false">IFERROR(INDEX(Parametros!$D$13:$D$16,MATCH($F133,Parametros!$B$13:$B$16,0)),"")</f>
        <v/>
      </c>
      <c r="Q133" s="30" t="str">
        <f aca="false">IF($F133="","",IF($F133="D","NAO","SIM"))</f>
        <v/>
      </c>
      <c r="R133" s="35" t="n">
        <f aca="false">IF(AND($M133="VERIFICADO",$Q133="SIM"),$P133,0)</f>
        <v>0</v>
      </c>
    </row>
    <row r="134" customFormat="false" ht="15" hidden="false" customHeight="false" outlineLevel="0" collapsed="false">
      <c r="A134" s="29"/>
      <c r="B134" s="29"/>
      <c r="C134" s="29"/>
      <c r="D134" s="29"/>
      <c r="E134" s="29"/>
      <c r="F134" s="30" t="str">
        <f aca="false">IFERROR(INDEX(Catalogo!$C$2:$C$29,MATCH($E134,Catalogo!$B$2:$B$29,0)),"")</f>
        <v/>
      </c>
      <c r="G134" s="11" t="str">
        <f aca="false">IFERROR(INDEX(Catalogo!$D$2:$D$29,MATCH($E134,Catalogo!$B$2:$B$29,0)),"")</f>
        <v/>
      </c>
      <c r="H134" s="11" t="str">
        <f aca="false">IFERROR(INDEX(Catalogo!$E$2:$E$29,MATCH($E134,Catalogo!$B$2:$B$29,0)),"")</f>
        <v/>
      </c>
      <c r="I134" s="31" t="str">
        <f aca="false">IFERROR(INDEX(Parametros!$C$13:$C$16,MATCH($F134,Parametros!$B$13:$B$16,0)),"")</f>
        <v/>
      </c>
      <c r="J134" s="36" t="str">
        <f aca="false">IFERROR(INDEX(Parametros!$E$13:$E$16,MATCH($F134,Parametros!$B$13:$B$16,0)),"")</f>
        <v/>
      </c>
      <c r="K134" s="33"/>
      <c r="L134" s="34" t="str">
        <f aca="false">IF(OR($K134="",$J134="",$J134=0),"",$K134+$J134)</f>
        <v/>
      </c>
      <c r="M134" s="29"/>
      <c r="N134" s="33"/>
      <c r="O134" s="33"/>
      <c r="P134" s="35" t="str">
        <f aca="false">IFERROR(INDEX(Parametros!$D$13:$D$16,MATCH($F134,Parametros!$B$13:$B$16,0)),"")</f>
        <v/>
      </c>
      <c r="Q134" s="30" t="str">
        <f aca="false">IF($F134="","",IF($F134="D","NAO","SIM"))</f>
        <v/>
      </c>
      <c r="R134" s="35" t="n">
        <f aca="false">IF(AND($M134="VERIFICADO",$Q134="SIM"),$P134,0)</f>
        <v>0</v>
      </c>
    </row>
    <row r="135" customFormat="false" ht="15" hidden="false" customHeight="false" outlineLevel="0" collapsed="false">
      <c r="A135" s="29"/>
      <c r="B135" s="29"/>
      <c r="C135" s="29"/>
      <c r="D135" s="29"/>
      <c r="E135" s="29"/>
      <c r="F135" s="30" t="str">
        <f aca="false">IFERROR(INDEX(Catalogo!$C$2:$C$29,MATCH($E135,Catalogo!$B$2:$B$29,0)),"")</f>
        <v/>
      </c>
      <c r="G135" s="11" t="str">
        <f aca="false">IFERROR(INDEX(Catalogo!$D$2:$D$29,MATCH($E135,Catalogo!$B$2:$B$29,0)),"")</f>
        <v/>
      </c>
      <c r="H135" s="11" t="str">
        <f aca="false">IFERROR(INDEX(Catalogo!$E$2:$E$29,MATCH($E135,Catalogo!$B$2:$B$29,0)),"")</f>
        <v/>
      </c>
      <c r="I135" s="31" t="str">
        <f aca="false">IFERROR(INDEX(Parametros!$C$13:$C$16,MATCH($F135,Parametros!$B$13:$B$16,0)),"")</f>
        <v/>
      </c>
      <c r="J135" s="36" t="str">
        <f aca="false">IFERROR(INDEX(Parametros!$E$13:$E$16,MATCH($F135,Parametros!$B$13:$B$16,0)),"")</f>
        <v/>
      </c>
      <c r="K135" s="33"/>
      <c r="L135" s="34" t="str">
        <f aca="false">IF(OR($K135="",$J135="",$J135=0),"",$K135+$J135)</f>
        <v/>
      </c>
      <c r="M135" s="29"/>
      <c r="N135" s="33"/>
      <c r="O135" s="33"/>
      <c r="P135" s="35" t="str">
        <f aca="false">IFERROR(INDEX(Parametros!$D$13:$D$16,MATCH($F135,Parametros!$B$13:$B$16,0)),"")</f>
        <v/>
      </c>
      <c r="Q135" s="30" t="str">
        <f aca="false">IF($F135="","",IF($F135="D","NAO","SIM"))</f>
        <v/>
      </c>
      <c r="R135" s="35" t="n">
        <f aca="false">IF(AND($M135="VERIFICADO",$Q135="SIM"),$P135,0)</f>
        <v>0</v>
      </c>
    </row>
    <row r="136" customFormat="false" ht="15" hidden="false" customHeight="false" outlineLevel="0" collapsed="false">
      <c r="A136" s="29"/>
      <c r="B136" s="29"/>
      <c r="C136" s="29"/>
      <c r="D136" s="29"/>
      <c r="E136" s="29"/>
      <c r="F136" s="30" t="str">
        <f aca="false">IFERROR(INDEX(Catalogo!$C$2:$C$29,MATCH($E136,Catalogo!$B$2:$B$29,0)),"")</f>
        <v/>
      </c>
      <c r="G136" s="11" t="str">
        <f aca="false">IFERROR(INDEX(Catalogo!$D$2:$D$29,MATCH($E136,Catalogo!$B$2:$B$29,0)),"")</f>
        <v/>
      </c>
      <c r="H136" s="11" t="str">
        <f aca="false">IFERROR(INDEX(Catalogo!$E$2:$E$29,MATCH($E136,Catalogo!$B$2:$B$29,0)),"")</f>
        <v/>
      </c>
      <c r="I136" s="31" t="str">
        <f aca="false">IFERROR(INDEX(Parametros!$C$13:$C$16,MATCH($F136,Parametros!$B$13:$B$16,0)),"")</f>
        <v/>
      </c>
      <c r="J136" s="36" t="str">
        <f aca="false">IFERROR(INDEX(Parametros!$E$13:$E$16,MATCH($F136,Parametros!$B$13:$B$16,0)),"")</f>
        <v/>
      </c>
      <c r="K136" s="33"/>
      <c r="L136" s="34" t="str">
        <f aca="false">IF(OR($K136="",$J136="",$J136=0),"",$K136+$J136)</f>
        <v/>
      </c>
      <c r="M136" s="29"/>
      <c r="N136" s="33"/>
      <c r="O136" s="33"/>
      <c r="P136" s="35" t="str">
        <f aca="false">IFERROR(INDEX(Parametros!$D$13:$D$16,MATCH($F136,Parametros!$B$13:$B$16,0)),"")</f>
        <v/>
      </c>
      <c r="Q136" s="30" t="str">
        <f aca="false">IF($F136="","",IF($F136="D","NAO","SIM"))</f>
        <v/>
      </c>
      <c r="R136" s="35" t="n">
        <f aca="false">IF(AND($M136="VERIFICADO",$Q136="SIM"),$P136,0)</f>
        <v>0</v>
      </c>
    </row>
    <row r="137" customFormat="false" ht="15" hidden="false" customHeight="false" outlineLevel="0" collapsed="false">
      <c r="A137" s="29"/>
      <c r="B137" s="29"/>
      <c r="C137" s="29"/>
      <c r="D137" s="29"/>
      <c r="E137" s="29"/>
      <c r="F137" s="30" t="str">
        <f aca="false">IFERROR(INDEX(Catalogo!$C$2:$C$29,MATCH($E137,Catalogo!$B$2:$B$29,0)),"")</f>
        <v/>
      </c>
      <c r="G137" s="11" t="str">
        <f aca="false">IFERROR(INDEX(Catalogo!$D$2:$D$29,MATCH($E137,Catalogo!$B$2:$B$29,0)),"")</f>
        <v/>
      </c>
      <c r="H137" s="11" t="str">
        <f aca="false">IFERROR(INDEX(Catalogo!$E$2:$E$29,MATCH($E137,Catalogo!$B$2:$B$29,0)),"")</f>
        <v/>
      </c>
      <c r="I137" s="31" t="str">
        <f aca="false">IFERROR(INDEX(Parametros!$C$13:$C$16,MATCH($F137,Parametros!$B$13:$B$16,0)),"")</f>
        <v/>
      </c>
      <c r="J137" s="36" t="str">
        <f aca="false">IFERROR(INDEX(Parametros!$E$13:$E$16,MATCH($F137,Parametros!$B$13:$B$16,0)),"")</f>
        <v/>
      </c>
      <c r="K137" s="33"/>
      <c r="L137" s="34" t="str">
        <f aca="false">IF(OR($K137="",$J137="",$J137=0),"",$K137+$J137)</f>
        <v/>
      </c>
      <c r="M137" s="29"/>
      <c r="N137" s="33"/>
      <c r="O137" s="33"/>
      <c r="P137" s="35" t="str">
        <f aca="false">IFERROR(INDEX(Parametros!$D$13:$D$16,MATCH($F137,Parametros!$B$13:$B$16,0)),"")</f>
        <v/>
      </c>
      <c r="Q137" s="30" t="str">
        <f aca="false">IF($F137="","",IF($F137="D","NAO","SIM"))</f>
        <v/>
      </c>
      <c r="R137" s="35" t="n">
        <f aca="false">IF(AND($M137="VERIFICADO",$Q137="SIM"),$P137,0)</f>
        <v>0</v>
      </c>
    </row>
    <row r="138" customFormat="false" ht="15" hidden="false" customHeight="false" outlineLevel="0" collapsed="false">
      <c r="A138" s="29"/>
      <c r="B138" s="29"/>
      <c r="C138" s="29"/>
      <c r="D138" s="29"/>
      <c r="E138" s="29"/>
      <c r="F138" s="30" t="str">
        <f aca="false">IFERROR(INDEX(Catalogo!$C$2:$C$29,MATCH($E138,Catalogo!$B$2:$B$29,0)),"")</f>
        <v/>
      </c>
      <c r="G138" s="11" t="str">
        <f aca="false">IFERROR(INDEX(Catalogo!$D$2:$D$29,MATCH($E138,Catalogo!$B$2:$B$29,0)),"")</f>
        <v/>
      </c>
      <c r="H138" s="11" t="str">
        <f aca="false">IFERROR(INDEX(Catalogo!$E$2:$E$29,MATCH($E138,Catalogo!$B$2:$B$29,0)),"")</f>
        <v/>
      </c>
      <c r="I138" s="31" t="str">
        <f aca="false">IFERROR(INDEX(Parametros!$C$13:$C$16,MATCH($F138,Parametros!$B$13:$B$16,0)),"")</f>
        <v/>
      </c>
      <c r="J138" s="36" t="str">
        <f aca="false">IFERROR(INDEX(Parametros!$E$13:$E$16,MATCH($F138,Parametros!$B$13:$B$16,0)),"")</f>
        <v/>
      </c>
      <c r="K138" s="33"/>
      <c r="L138" s="34" t="str">
        <f aca="false">IF(OR($K138="",$J138="",$J138=0),"",$K138+$J138)</f>
        <v/>
      </c>
      <c r="M138" s="29"/>
      <c r="N138" s="33"/>
      <c r="O138" s="33"/>
      <c r="P138" s="35" t="str">
        <f aca="false">IFERROR(INDEX(Parametros!$D$13:$D$16,MATCH($F138,Parametros!$B$13:$B$16,0)),"")</f>
        <v/>
      </c>
      <c r="Q138" s="30" t="str">
        <f aca="false">IF($F138="","",IF($F138="D","NAO","SIM"))</f>
        <v/>
      </c>
      <c r="R138" s="35" t="n">
        <f aca="false">IF(AND($M138="VERIFICADO",$Q138="SIM"),$P138,0)</f>
        <v>0</v>
      </c>
    </row>
    <row r="139" customFormat="false" ht="15" hidden="false" customHeight="false" outlineLevel="0" collapsed="false">
      <c r="A139" s="29"/>
      <c r="B139" s="29"/>
      <c r="C139" s="29"/>
      <c r="D139" s="29"/>
      <c r="E139" s="29"/>
      <c r="F139" s="30" t="str">
        <f aca="false">IFERROR(INDEX(Catalogo!$C$2:$C$29,MATCH($E139,Catalogo!$B$2:$B$29,0)),"")</f>
        <v/>
      </c>
      <c r="G139" s="11" t="str">
        <f aca="false">IFERROR(INDEX(Catalogo!$D$2:$D$29,MATCH($E139,Catalogo!$B$2:$B$29,0)),"")</f>
        <v/>
      </c>
      <c r="H139" s="11" t="str">
        <f aca="false">IFERROR(INDEX(Catalogo!$E$2:$E$29,MATCH($E139,Catalogo!$B$2:$B$29,0)),"")</f>
        <v/>
      </c>
      <c r="I139" s="31" t="str">
        <f aca="false">IFERROR(INDEX(Parametros!$C$13:$C$16,MATCH($F139,Parametros!$B$13:$B$16,0)),"")</f>
        <v/>
      </c>
      <c r="J139" s="36" t="str">
        <f aca="false">IFERROR(INDEX(Parametros!$E$13:$E$16,MATCH($F139,Parametros!$B$13:$B$16,0)),"")</f>
        <v/>
      </c>
      <c r="K139" s="33"/>
      <c r="L139" s="34" t="str">
        <f aca="false">IF(OR($K139="",$J139="",$J139=0),"",$K139+$J139)</f>
        <v/>
      </c>
      <c r="M139" s="29"/>
      <c r="N139" s="33"/>
      <c r="O139" s="33"/>
      <c r="P139" s="35" t="str">
        <f aca="false">IFERROR(INDEX(Parametros!$D$13:$D$16,MATCH($F139,Parametros!$B$13:$B$16,0)),"")</f>
        <v/>
      </c>
      <c r="Q139" s="30" t="str">
        <f aca="false">IF($F139="","",IF($F139="D","NAO","SIM"))</f>
        <v/>
      </c>
      <c r="R139" s="35" t="n">
        <f aca="false">IF(AND($M139="VERIFICADO",$Q139="SIM"),$P139,0)</f>
        <v>0</v>
      </c>
    </row>
    <row r="140" customFormat="false" ht="15" hidden="false" customHeight="false" outlineLevel="0" collapsed="false">
      <c r="A140" s="29"/>
      <c r="B140" s="29"/>
      <c r="C140" s="29"/>
      <c r="D140" s="29"/>
      <c r="E140" s="29"/>
      <c r="F140" s="30" t="str">
        <f aca="false">IFERROR(INDEX(Catalogo!$C$2:$C$29,MATCH($E140,Catalogo!$B$2:$B$29,0)),"")</f>
        <v/>
      </c>
      <c r="G140" s="11" t="str">
        <f aca="false">IFERROR(INDEX(Catalogo!$D$2:$D$29,MATCH($E140,Catalogo!$B$2:$B$29,0)),"")</f>
        <v/>
      </c>
      <c r="H140" s="11" t="str">
        <f aca="false">IFERROR(INDEX(Catalogo!$E$2:$E$29,MATCH($E140,Catalogo!$B$2:$B$29,0)),"")</f>
        <v/>
      </c>
      <c r="I140" s="31" t="str">
        <f aca="false">IFERROR(INDEX(Parametros!$C$13:$C$16,MATCH($F140,Parametros!$B$13:$B$16,0)),"")</f>
        <v/>
      </c>
      <c r="J140" s="36" t="str">
        <f aca="false">IFERROR(INDEX(Parametros!$E$13:$E$16,MATCH($F140,Parametros!$B$13:$B$16,0)),"")</f>
        <v/>
      </c>
      <c r="K140" s="33"/>
      <c r="L140" s="34" t="str">
        <f aca="false">IF(OR($K140="",$J140="",$J140=0),"",$K140+$J140)</f>
        <v/>
      </c>
      <c r="M140" s="29"/>
      <c r="N140" s="33"/>
      <c r="O140" s="33"/>
      <c r="P140" s="35" t="str">
        <f aca="false">IFERROR(INDEX(Parametros!$D$13:$D$16,MATCH($F140,Parametros!$B$13:$B$16,0)),"")</f>
        <v/>
      </c>
      <c r="Q140" s="30" t="str">
        <f aca="false">IF($F140="","",IF($F140="D","NAO","SIM"))</f>
        <v/>
      </c>
      <c r="R140" s="35" t="n">
        <f aca="false">IF(AND($M140="VERIFICADO",$Q140="SIM"),$P140,0)</f>
        <v>0</v>
      </c>
    </row>
    <row r="141" customFormat="false" ht="15" hidden="false" customHeight="false" outlineLevel="0" collapsed="false">
      <c r="A141" s="29"/>
      <c r="B141" s="29"/>
      <c r="C141" s="29"/>
      <c r="D141" s="29"/>
      <c r="E141" s="29"/>
      <c r="F141" s="30" t="str">
        <f aca="false">IFERROR(INDEX(Catalogo!$C$2:$C$29,MATCH($E141,Catalogo!$B$2:$B$29,0)),"")</f>
        <v/>
      </c>
      <c r="G141" s="11" t="str">
        <f aca="false">IFERROR(INDEX(Catalogo!$D$2:$D$29,MATCH($E141,Catalogo!$B$2:$B$29,0)),"")</f>
        <v/>
      </c>
      <c r="H141" s="11" t="str">
        <f aca="false">IFERROR(INDEX(Catalogo!$E$2:$E$29,MATCH($E141,Catalogo!$B$2:$B$29,0)),"")</f>
        <v/>
      </c>
      <c r="I141" s="31" t="str">
        <f aca="false">IFERROR(INDEX(Parametros!$C$13:$C$16,MATCH($F141,Parametros!$B$13:$B$16,0)),"")</f>
        <v/>
      </c>
      <c r="J141" s="36" t="str">
        <f aca="false">IFERROR(INDEX(Parametros!$E$13:$E$16,MATCH($F141,Parametros!$B$13:$B$16,0)),"")</f>
        <v/>
      </c>
      <c r="K141" s="33"/>
      <c r="L141" s="34" t="str">
        <f aca="false">IF(OR($K141="",$J141="",$J141=0),"",$K141+$J141)</f>
        <v/>
      </c>
      <c r="M141" s="29"/>
      <c r="N141" s="33"/>
      <c r="O141" s="33"/>
      <c r="P141" s="35" t="str">
        <f aca="false">IFERROR(INDEX(Parametros!$D$13:$D$16,MATCH($F141,Parametros!$B$13:$B$16,0)),"")</f>
        <v/>
      </c>
      <c r="Q141" s="30" t="str">
        <f aca="false">IF($F141="","",IF($F141="D","NAO","SIM"))</f>
        <v/>
      </c>
      <c r="R141" s="35" t="n">
        <f aca="false">IF(AND($M141="VERIFICADO",$Q141="SIM"),$P141,0)</f>
        <v>0</v>
      </c>
    </row>
    <row r="142" customFormat="false" ht="15" hidden="false" customHeight="false" outlineLevel="0" collapsed="false">
      <c r="A142" s="29"/>
      <c r="B142" s="29"/>
      <c r="C142" s="29"/>
      <c r="D142" s="29"/>
      <c r="E142" s="29"/>
      <c r="F142" s="30" t="str">
        <f aca="false">IFERROR(INDEX(Catalogo!$C$2:$C$29,MATCH($E142,Catalogo!$B$2:$B$29,0)),"")</f>
        <v/>
      </c>
      <c r="G142" s="11" t="str">
        <f aca="false">IFERROR(INDEX(Catalogo!$D$2:$D$29,MATCH($E142,Catalogo!$B$2:$B$29,0)),"")</f>
        <v/>
      </c>
      <c r="H142" s="11" t="str">
        <f aca="false">IFERROR(INDEX(Catalogo!$E$2:$E$29,MATCH($E142,Catalogo!$B$2:$B$29,0)),"")</f>
        <v/>
      </c>
      <c r="I142" s="31" t="str">
        <f aca="false">IFERROR(INDEX(Parametros!$C$13:$C$16,MATCH($F142,Parametros!$B$13:$B$16,0)),"")</f>
        <v/>
      </c>
      <c r="J142" s="36" t="str">
        <f aca="false">IFERROR(INDEX(Parametros!$E$13:$E$16,MATCH($F142,Parametros!$B$13:$B$16,0)),"")</f>
        <v/>
      </c>
      <c r="K142" s="33"/>
      <c r="L142" s="34" t="str">
        <f aca="false">IF(OR($K142="",$J142="",$J142=0),"",$K142+$J142)</f>
        <v/>
      </c>
      <c r="M142" s="29"/>
      <c r="N142" s="33"/>
      <c r="O142" s="33"/>
      <c r="P142" s="35" t="str">
        <f aca="false">IFERROR(INDEX(Parametros!$D$13:$D$16,MATCH($F142,Parametros!$B$13:$B$16,0)),"")</f>
        <v/>
      </c>
      <c r="Q142" s="30" t="str">
        <f aca="false">IF($F142="","",IF($F142="D","NAO","SIM"))</f>
        <v/>
      </c>
      <c r="R142" s="35" t="n">
        <f aca="false">IF(AND($M142="VERIFICADO",$Q142="SIM"),$P142,0)</f>
        <v>0</v>
      </c>
    </row>
    <row r="143" customFormat="false" ht="15" hidden="false" customHeight="false" outlineLevel="0" collapsed="false">
      <c r="A143" s="29"/>
      <c r="B143" s="29"/>
      <c r="C143" s="29"/>
      <c r="D143" s="29"/>
      <c r="E143" s="29"/>
      <c r="F143" s="30" t="str">
        <f aca="false">IFERROR(INDEX(Catalogo!$C$2:$C$29,MATCH($E143,Catalogo!$B$2:$B$29,0)),"")</f>
        <v/>
      </c>
      <c r="G143" s="11" t="str">
        <f aca="false">IFERROR(INDEX(Catalogo!$D$2:$D$29,MATCH($E143,Catalogo!$B$2:$B$29,0)),"")</f>
        <v/>
      </c>
      <c r="H143" s="11" t="str">
        <f aca="false">IFERROR(INDEX(Catalogo!$E$2:$E$29,MATCH($E143,Catalogo!$B$2:$B$29,0)),"")</f>
        <v/>
      </c>
      <c r="I143" s="31" t="str">
        <f aca="false">IFERROR(INDEX(Parametros!$C$13:$C$16,MATCH($F143,Parametros!$B$13:$B$16,0)),"")</f>
        <v/>
      </c>
      <c r="J143" s="36" t="str">
        <f aca="false">IFERROR(INDEX(Parametros!$E$13:$E$16,MATCH($F143,Parametros!$B$13:$B$16,0)),"")</f>
        <v/>
      </c>
      <c r="K143" s="33"/>
      <c r="L143" s="34" t="str">
        <f aca="false">IF(OR($K143="",$J143="",$J143=0),"",$K143+$J143)</f>
        <v/>
      </c>
      <c r="M143" s="29"/>
      <c r="N143" s="33"/>
      <c r="O143" s="33"/>
      <c r="P143" s="35" t="str">
        <f aca="false">IFERROR(INDEX(Parametros!$D$13:$D$16,MATCH($F143,Parametros!$B$13:$B$16,0)),"")</f>
        <v/>
      </c>
      <c r="Q143" s="30" t="str">
        <f aca="false">IF($F143="","",IF($F143="D","NAO","SIM"))</f>
        <v/>
      </c>
      <c r="R143" s="35" t="n">
        <f aca="false">IF(AND($M143="VERIFICADO",$Q143="SIM"),$P143,0)</f>
        <v>0</v>
      </c>
    </row>
    <row r="144" customFormat="false" ht="15" hidden="false" customHeight="false" outlineLevel="0" collapsed="false">
      <c r="A144" s="29"/>
      <c r="B144" s="29"/>
      <c r="C144" s="29"/>
      <c r="D144" s="29"/>
      <c r="E144" s="29"/>
      <c r="F144" s="30" t="str">
        <f aca="false">IFERROR(INDEX(Catalogo!$C$2:$C$29,MATCH($E144,Catalogo!$B$2:$B$29,0)),"")</f>
        <v/>
      </c>
      <c r="G144" s="11" t="str">
        <f aca="false">IFERROR(INDEX(Catalogo!$D$2:$D$29,MATCH($E144,Catalogo!$B$2:$B$29,0)),"")</f>
        <v/>
      </c>
      <c r="H144" s="11" t="str">
        <f aca="false">IFERROR(INDEX(Catalogo!$E$2:$E$29,MATCH($E144,Catalogo!$B$2:$B$29,0)),"")</f>
        <v/>
      </c>
      <c r="I144" s="31" t="str">
        <f aca="false">IFERROR(INDEX(Parametros!$C$13:$C$16,MATCH($F144,Parametros!$B$13:$B$16,0)),"")</f>
        <v/>
      </c>
      <c r="J144" s="36" t="str">
        <f aca="false">IFERROR(INDEX(Parametros!$E$13:$E$16,MATCH($F144,Parametros!$B$13:$B$16,0)),"")</f>
        <v/>
      </c>
      <c r="K144" s="33"/>
      <c r="L144" s="34" t="str">
        <f aca="false">IF(OR($K144="",$J144="",$J144=0),"",$K144+$J144)</f>
        <v/>
      </c>
      <c r="M144" s="29"/>
      <c r="N144" s="33"/>
      <c r="O144" s="33"/>
      <c r="P144" s="35" t="str">
        <f aca="false">IFERROR(INDEX(Parametros!$D$13:$D$16,MATCH($F144,Parametros!$B$13:$B$16,0)),"")</f>
        <v/>
      </c>
      <c r="Q144" s="30" t="str">
        <f aca="false">IF($F144="","",IF($F144="D","NAO","SIM"))</f>
        <v/>
      </c>
      <c r="R144" s="35" t="n">
        <f aca="false">IF(AND($M144="VERIFICADO",$Q144="SIM"),$P144,0)</f>
        <v>0</v>
      </c>
    </row>
    <row r="145" customFormat="false" ht="15" hidden="false" customHeight="false" outlineLevel="0" collapsed="false">
      <c r="A145" s="29"/>
      <c r="B145" s="29"/>
      <c r="C145" s="29"/>
      <c r="D145" s="29"/>
      <c r="E145" s="29"/>
      <c r="F145" s="30" t="str">
        <f aca="false">IFERROR(INDEX(Catalogo!$C$2:$C$29,MATCH($E145,Catalogo!$B$2:$B$29,0)),"")</f>
        <v/>
      </c>
      <c r="G145" s="11" t="str">
        <f aca="false">IFERROR(INDEX(Catalogo!$D$2:$D$29,MATCH($E145,Catalogo!$B$2:$B$29,0)),"")</f>
        <v/>
      </c>
      <c r="H145" s="11" t="str">
        <f aca="false">IFERROR(INDEX(Catalogo!$E$2:$E$29,MATCH($E145,Catalogo!$B$2:$B$29,0)),"")</f>
        <v/>
      </c>
      <c r="I145" s="31" t="str">
        <f aca="false">IFERROR(INDEX(Parametros!$C$13:$C$16,MATCH($F145,Parametros!$B$13:$B$16,0)),"")</f>
        <v/>
      </c>
      <c r="J145" s="36" t="str">
        <f aca="false">IFERROR(INDEX(Parametros!$E$13:$E$16,MATCH($F145,Parametros!$B$13:$B$16,0)),"")</f>
        <v/>
      </c>
      <c r="K145" s="33"/>
      <c r="L145" s="34" t="str">
        <f aca="false">IF(OR($K145="",$J145="",$J145=0),"",$K145+$J145)</f>
        <v/>
      </c>
      <c r="M145" s="29"/>
      <c r="N145" s="33"/>
      <c r="O145" s="33"/>
      <c r="P145" s="35" t="str">
        <f aca="false">IFERROR(INDEX(Parametros!$D$13:$D$16,MATCH($F145,Parametros!$B$13:$B$16,0)),"")</f>
        <v/>
      </c>
      <c r="Q145" s="30" t="str">
        <f aca="false">IF($F145="","",IF($F145="D","NAO","SIM"))</f>
        <v/>
      </c>
      <c r="R145" s="35" t="n">
        <f aca="false">IF(AND($M145="VERIFICADO",$Q145="SIM"),$P145,0)</f>
        <v>0</v>
      </c>
    </row>
    <row r="146" customFormat="false" ht="15" hidden="false" customHeight="false" outlineLevel="0" collapsed="false">
      <c r="A146" s="29"/>
      <c r="B146" s="29"/>
      <c r="C146" s="29"/>
      <c r="D146" s="29"/>
      <c r="E146" s="29"/>
      <c r="F146" s="30" t="str">
        <f aca="false">IFERROR(INDEX(Catalogo!$C$2:$C$29,MATCH($E146,Catalogo!$B$2:$B$29,0)),"")</f>
        <v/>
      </c>
      <c r="G146" s="11" t="str">
        <f aca="false">IFERROR(INDEX(Catalogo!$D$2:$D$29,MATCH($E146,Catalogo!$B$2:$B$29,0)),"")</f>
        <v/>
      </c>
      <c r="H146" s="11" t="str">
        <f aca="false">IFERROR(INDEX(Catalogo!$E$2:$E$29,MATCH($E146,Catalogo!$B$2:$B$29,0)),"")</f>
        <v/>
      </c>
      <c r="I146" s="31" t="str">
        <f aca="false">IFERROR(INDEX(Parametros!$C$13:$C$16,MATCH($F146,Parametros!$B$13:$B$16,0)),"")</f>
        <v/>
      </c>
      <c r="J146" s="36" t="str">
        <f aca="false">IFERROR(INDEX(Parametros!$E$13:$E$16,MATCH($F146,Parametros!$B$13:$B$16,0)),"")</f>
        <v/>
      </c>
      <c r="K146" s="33"/>
      <c r="L146" s="34" t="str">
        <f aca="false">IF(OR($K146="",$J146="",$J146=0),"",$K146+$J146)</f>
        <v/>
      </c>
      <c r="M146" s="29"/>
      <c r="N146" s="33"/>
      <c r="O146" s="33"/>
      <c r="P146" s="35" t="str">
        <f aca="false">IFERROR(INDEX(Parametros!$D$13:$D$16,MATCH($F146,Parametros!$B$13:$B$16,0)),"")</f>
        <v/>
      </c>
      <c r="Q146" s="30" t="str">
        <f aca="false">IF($F146="","",IF($F146="D","NAO","SIM"))</f>
        <v/>
      </c>
      <c r="R146" s="35" t="n">
        <f aca="false">IF(AND($M146="VERIFICADO",$Q146="SIM"),$P146,0)</f>
        <v>0</v>
      </c>
    </row>
    <row r="147" customFormat="false" ht="15" hidden="false" customHeight="false" outlineLevel="0" collapsed="false">
      <c r="A147" s="29"/>
      <c r="B147" s="29"/>
      <c r="C147" s="29"/>
      <c r="D147" s="29"/>
      <c r="E147" s="29"/>
      <c r="F147" s="30" t="str">
        <f aca="false">IFERROR(INDEX(Catalogo!$C$2:$C$29,MATCH($E147,Catalogo!$B$2:$B$29,0)),"")</f>
        <v/>
      </c>
      <c r="G147" s="11" t="str">
        <f aca="false">IFERROR(INDEX(Catalogo!$D$2:$D$29,MATCH($E147,Catalogo!$B$2:$B$29,0)),"")</f>
        <v/>
      </c>
      <c r="H147" s="11" t="str">
        <f aca="false">IFERROR(INDEX(Catalogo!$E$2:$E$29,MATCH($E147,Catalogo!$B$2:$B$29,0)),"")</f>
        <v/>
      </c>
      <c r="I147" s="31" t="str">
        <f aca="false">IFERROR(INDEX(Parametros!$C$13:$C$16,MATCH($F147,Parametros!$B$13:$B$16,0)),"")</f>
        <v/>
      </c>
      <c r="J147" s="36" t="str">
        <f aca="false">IFERROR(INDEX(Parametros!$E$13:$E$16,MATCH($F147,Parametros!$B$13:$B$16,0)),"")</f>
        <v/>
      </c>
      <c r="K147" s="33"/>
      <c r="L147" s="34" t="str">
        <f aca="false">IF(OR($K147="",$J147="",$J147=0),"",$K147+$J147)</f>
        <v/>
      </c>
      <c r="M147" s="29"/>
      <c r="N147" s="33"/>
      <c r="O147" s="33"/>
      <c r="P147" s="35" t="str">
        <f aca="false">IFERROR(INDEX(Parametros!$D$13:$D$16,MATCH($F147,Parametros!$B$13:$B$16,0)),"")</f>
        <v/>
      </c>
      <c r="Q147" s="30" t="str">
        <f aca="false">IF($F147="","",IF($F147="D","NAO","SIM"))</f>
        <v/>
      </c>
      <c r="R147" s="35" t="n">
        <f aca="false">IF(AND($M147="VERIFICADO",$Q147="SIM"),$P147,0)</f>
        <v>0</v>
      </c>
    </row>
    <row r="148" customFormat="false" ht="15" hidden="false" customHeight="false" outlineLevel="0" collapsed="false">
      <c r="A148" s="29"/>
      <c r="B148" s="29"/>
      <c r="C148" s="29"/>
      <c r="D148" s="29"/>
      <c r="E148" s="29"/>
      <c r="F148" s="30" t="str">
        <f aca="false">IFERROR(INDEX(Catalogo!$C$2:$C$29,MATCH($E148,Catalogo!$B$2:$B$29,0)),"")</f>
        <v/>
      </c>
      <c r="G148" s="11" t="str">
        <f aca="false">IFERROR(INDEX(Catalogo!$D$2:$D$29,MATCH($E148,Catalogo!$B$2:$B$29,0)),"")</f>
        <v/>
      </c>
      <c r="H148" s="11" t="str">
        <f aca="false">IFERROR(INDEX(Catalogo!$E$2:$E$29,MATCH($E148,Catalogo!$B$2:$B$29,0)),"")</f>
        <v/>
      </c>
      <c r="I148" s="31" t="str">
        <f aca="false">IFERROR(INDEX(Parametros!$C$13:$C$16,MATCH($F148,Parametros!$B$13:$B$16,0)),"")</f>
        <v/>
      </c>
      <c r="J148" s="36" t="str">
        <f aca="false">IFERROR(INDEX(Parametros!$E$13:$E$16,MATCH($F148,Parametros!$B$13:$B$16,0)),"")</f>
        <v/>
      </c>
      <c r="K148" s="33"/>
      <c r="L148" s="34" t="str">
        <f aca="false">IF(OR($K148="",$J148="",$J148=0),"",$K148+$J148)</f>
        <v/>
      </c>
      <c r="M148" s="29"/>
      <c r="N148" s="33"/>
      <c r="O148" s="33"/>
      <c r="P148" s="35" t="str">
        <f aca="false">IFERROR(INDEX(Parametros!$D$13:$D$16,MATCH($F148,Parametros!$B$13:$B$16,0)),"")</f>
        <v/>
      </c>
      <c r="Q148" s="30" t="str">
        <f aca="false">IF($F148="","",IF($F148="D","NAO","SIM"))</f>
        <v/>
      </c>
      <c r="R148" s="35" t="n">
        <f aca="false">IF(AND($M148="VERIFICADO",$Q148="SIM"),$P148,0)</f>
        <v>0</v>
      </c>
    </row>
    <row r="149" customFormat="false" ht="15" hidden="false" customHeight="false" outlineLevel="0" collapsed="false">
      <c r="A149" s="29"/>
      <c r="B149" s="29"/>
      <c r="C149" s="29"/>
      <c r="D149" s="29"/>
      <c r="E149" s="29"/>
      <c r="F149" s="30" t="str">
        <f aca="false">IFERROR(INDEX(Catalogo!$C$2:$C$29,MATCH($E149,Catalogo!$B$2:$B$29,0)),"")</f>
        <v/>
      </c>
      <c r="G149" s="11" t="str">
        <f aca="false">IFERROR(INDEX(Catalogo!$D$2:$D$29,MATCH($E149,Catalogo!$B$2:$B$29,0)),"")</f>
        <v/>
      </c>
      <c r="H149" s="11" t="str">
        <f aca="false">IFERROR(INDEX(Catalogo!$E$2:$E$29,MATCH($E149,Catalogo!$B$2:$B$29,0)),"")</f>
        <v/>
      </c>
      <c r="I149" s="31" t="str">
        <f aca="false">IFERROR(INDEX(Parametros!$C$13:$C$16,MATCH($F149,Parametros!$B$13:$B$16,0)),"")</f>
        <v/>
      </c>
      <c r="J149" s="36" t="str">
        <f aca="false">IFERROR(INDEX(Parametros!$E$13:$E$16,MATCH($F149,Parametros!$B$13:$B$16,0)),"")</f>
        <v/>
      </c>
      <c r="K149" s="33"/>
      <c r="L149" s="34" t="str">
        <f aca="false">IF(OR($K149="",$J149="",$J149=0),"",$K149+$J149)</f>
        <v/>
      </c>
      <c r="M149" s="29"/>
      <c r="N149" s="33"/>
      <c r="O149" s="33"/>
      <c r="P149" s="35" t="str">
        <f aca="false">IFERROR(INDEX(Parametros!$D$13:$D$16,MATCH($F149,Parametros!$B$13:$B$16,0)),"")</f>
        <v/>
      </c>
      <c r="Q149" s="30" t="str">
        <f aca="false">IF($F149="","",IF($F149="D","NAO","SIM"))</f>
        <v/>
      </c>
      <c r="R149" s="35" t="n">
        <f aca="false">IF(AND($M149="VERIFICADO",$Q149="SIM"),$P149,0)</f>
        <v>0</v>
      </c>
    </row>
    <row r="150" customFormat="false" ht="15" hidden="false" customHeight="false" outlineLevel="0" collapsed="false">
      <c r="A150" s="29"/>
      <c r="B150" s="29"/>
      <c r="C150" s="29"/>
      <c r="D150" s="29"/>
      <c r="E150" s="29"/>
      <c r="F150" s="30" t="str">
        <f aca="false">IFERROR(INDEX(Catalogo!$C$2:$C$29,MATCH($E150,Catalogo!$B$2:$B$29,0)),"")</f>
        <v/>
      </c>
      <c r="G150" s="11" t="str">
        <f aca="false">IFERROR(INDEX(Catalogo!$D$2:$D$29,MATCH($E150,Catalogo!$B$2:$B$29,0)),"")</f>
        <v/>
      </c>
      <c r="H150" s="11" t="str">
        <f aca="false">IFERROR(INDEX(Catalogo!$E$2:$E$29,MATCH($E150,Catalogo!$B$2:$B$29,0)),"")</f>
        <v/>
      </c>
      <c r="I150" s="31" t="str">
        <f aca="false">IFERROR(INDEX(Parametros!$C$13:$C$16,MATCH($F150,Parametros!$B$13:$B$16,0)),"")</f>
        <v/>
      </c>
      <c r="J150" s="36" t="str">
        <f aca="false">IFERROR(INDEX(Parametros!$E$13:$E$16,MATCH($F150,Parametros!$B$13:$B$16,0)),"")</f>
        <v/>
      </c>
      <c r="K150" s="33"/>
      <c r="L150" s="34" t="str">
        <f aca="false">IF(OR($K150="",$J150="",$J150=0),"",$K150+$J150)</f>
        <v/>
      </c>
      <c r="M150" s="29"/>
      <c r="N150" s="33"/>
      <c r="O150" s="33"/>
      <c r="P150" s="35" t="str">
        <f aca="false">IFERROR(INDEX(Parametros!$D$13:$D$16,MATCH($F150,Parametros!$B$13:$B$16,0)),"")</f>
        <v/>
      </c>
      <c r="Q150" s="30" t="str">
        <f aca="false">IF($F150="","",IF($F150="D","NAO","SIM"))</f>
        <v/>
      </c>
      <c r="R150" s="35" t="n">
        <f aca="false">IF(AND($M150="VERIFICADO",$Q150="SIM"),$P150,0)</f>
        <v>0</v>
      </c>
    </row>
    <row r="151" customFormat="false" ht="15" hidden="false" customHeight="false" outlineLevel="0" collapsed="false">
      <c r="A151" s="29"/>
      <c r="B151" s="29"/>
      <c r="C151" s="29"/>
      <c r="D151" s="29"/>
      <c r="E151" s="29"/>
      <c r="F151" s="30" t="str">
        <f aca="false">IFERROR(INDEX(Catalogo!$C$2:$C$29,MATCH($E151,Catalogo!$B$2:$B$29,0)),"")</f>
        <v/>
      </c>
      <c r="G151" s="11" t="str">
        <f aca="false">IFERROR(INDEX(Catalogo!$D$2:$D$29,MATCH($E151,Catalogo!$B$2:$B$29,0)),"")</f>
        <v/>
      </c>
      <c r="H151" s="11" t="str">
        <f aca="false">IFERROR(INDEX(Catalogo!$E$2:$E$29,MATCH($E151,Catalogo!$B$2:$B$29,0)),"")</f>
        <v/>
      </c>
      <c r="I151" s="31" t="str">
        <f aca="false">IFERROR(INDEX(Parametros!$C$13:$C$16,MATCH($F151,Parametros!$B$13:$B$16,0)),"")</f>
        <v/>
      </c>
      <c r="J151" s="36" t="str">
        <f aca="false">IFERROR(INDEX(Parametros!$E$13:$E$16,MATCH($F151,Parametros!$B$13:$B$16,0)),"")</f>
        <v/>
      </c>
      <c r="K151" s="33"/>
      <c r="L151" s="34" t="str">
        <f aca="false">IF(OR($K151="",$J151="",$J151=0),"",$K151+$J151)</f>
        <v/>
      </c>
      <c r="M151" s="29"/>
      <c r="N151" s="33"/>
      <c r="O151" s="33"/>
      <c r="P151" s="35" t="str">
        <f aca="false">IFERROR(INDEX(Parametros!$D$13:$D$16,MATCH($F151,Parametros!$B$13:$B$16,0)),"")</f>
        <v/>
      </c>
      <c r="Q151" s="30" t="str">
        <f aca="false">IF($F151="","",IF($F151="D","NAO","SIM"))</f>
        <v/>
      </c>
      <c r="R151" s="35" t="n">
        <f aca="false">IF(AND($M151="VERIFICADO",$Q151="SIM"),$P151,0)</f>
        <v>0</v>
      </c>
    </row>
    <row r="152" customFormat="false" ht="15" hidden="false" customHeight="false" outlineLevel="0" collapsed="false">
      <c r="A152" s="29"/>
      <c r="B152" s="29"/>
      <c r="C152" s="29"/>
      <c r="D152" s="29"/>
      <c r="E152" s="29"/>
      <c r="F152" s="30" t="str">
        <f aca="false">IFERROR(INDEX(Catalogo!$C$2:$C$29,MATCH($E152,Catalogo!$B$2:$B$29,0)),"")</f>
        <v/>
      </c>
      <c r="G152" s="11" t="str">
        <f aca="false">IFERROR(INDEX(Catalogo!$D$2:$D$29,MATCH($E152,Catalogo!$B$2:$B$29,0)),"")</f>
        <v/>
      </c>
      <c r="H152" s="11" t="str">
        <f aca="false">IFERROR(INDEX(Catalogo!$E$2:$E$29,MATCH($E152,Catalogo!$B$2:$B$29,0)),"")</f>
        <v/>
      </c>
      <c r="I152" s="31" t="str">
        <f aca="false">IFERROR(INDEX(Parametros!$C$13:$C$16,MATCH($F152,Parametros!$B$13:$B$16,0)),"")</f>
        <v/>
      </c>
      <c r="J152" s="36" t="str">
        <f aca="false">IFERROR(INDEX(Parametros!$E$13:$E$16,MATCH($F152,Parametros!$B$13:$B$16,0)),"")</f>
        <v/>
      </c>
      <c r="K152" s="33"/>
      <c r="L152" s="34" t="str">
        <f aca="false">IF(OR($K152="",$J152="",$J152=0),"",$K152+$J152)</f>
        <v/>
      </c>
      <c r="M152" s="29"/>
      <c r="N152" s="33"/>
      <c r="O152" s="33"/>
      <c r="P152" s="35" t="str">
        <f aca="false">IFERROR(INDEX(Parametros!$D$13:$D$16,MATCH($F152,Parametros!$B$13:$B$16,0)),"")</f>
        <v/>
      </c>
      <c r="Q152" s="30" t="str">
        <f aca="false">IF($F152="","",IF($F152="D","NAO","SIM"))</f>
        <v/>
      </c>
      <c r="R152" s="35" t="n">
        <f aca="false">IF(AND($M152="VERIFICADO",$Q152="SIM"),$P152,0)</f>
        <v>0</v>
      </c>
    </row>
    <row r="153" customFormat="false" ht="15" hidden="false" customHeight="false" outlineLevel="0" collapsed="false">
      <c r="A153" s="29"/>
      <c r="B153" s="29"/>
      <c r="C153" s="29"/>
      <c r="D153" s="29"/>
      <c r="E153" s="29"/>
      <c r="F153" s="30" t="str">
        <f aca="false">IFERROR(INDEX(Catalogo!$C$2:$C$29,MATCH($E153,Catalogo!$B$2:$B$29,0)),"")</f>
        <v/>
      </c>
      <c r="G153" s="11" t="str">
        <f aca="false">IFERROR(INDEX(Catalogo!$D$2:$D$29,MATCH($E153,Catalogo!$B$2:$B$29,0)),"")</f>
        <v/>
      </c>
      <c r="H153" s="11" t="str">
        <f aca="false">IFERROR(INDEX(Catalogo!$E$2:$E$29,MATCH($E153,Catalogo!$B$2:$B$29,0)),"")</f>
        <v/>
      </c>
      <c r="I153" s="31" t="str">
        <f aca="false">IFERROR(INDEX(Parametros!$C$13:$C$16,MATCH($F153,Parametros!$B$13:$B$16,0)),"")</f>
        <v/>
      </c>
      <c r="J153" s="36" t="str">
        <f aca="false">IFERROR(INDEX(Parametros!$E$13:$E$16,MATCH($F153,Parametros!$B$13:$B$16,0)),"")</f>
        <v/>
      </c>
      <c r="K153" s="33"/>
      <c r="L153" s="34" t="str">
        <f aca="false">IF(OR($K153="",$J153="",$J153=0),"",$K153+$J153)</f>
        <v/>
      </c>
      <c r="M153" s="29"/>
      <c r="N153" s="33"/>
      <c r="O153" s="33"/>
      <c r="P153" s="35" t="str">
        <f aca="false">IFERROR(INDEX(Parametros!$D$13:$D$16,MATCH($F153,Parametros!$B$13:$B$16,0)),"")</f>
        <v/>
      </c>
      <c r="Q153" s="30" t="str">
        <f aca="false">IF($F153="","",IF($F153="D","NAO","SIM"))</f>
        <v/>
      </c>
      <c r="R153" s="35" t="n">
        <f aca="false">IF(AND($M153="VERIFICADO",$Q153="SIM"),$P153,0)</f>
        <v>0</v>
      </c>
    </row>
    <row r="154" customFormat="false" ht="15" hidden="false" customHeight="false" outlineLevel="0" collapsed="false">
      <c r="A154" s="29"/>
      <c r="B154" s="29"/>
      <c r="C154" s="29"/>
      <c r="D154" s="29"/>
      <c r="E154" s="29"/>
      <c r="F154" s="30" t="str">
        <f aca="false">IFERROR(INDEX(Catalogo!$C$2:$C$29,MATCH($E154,Catalogo!$B$2:$B$29,0)),"")</f>
        <v/>
      </c>
      <c r="G154" s="11" t="str">
        <f aca="false">IFERROR(INDEX(Catalogo!$D$2:$D$29,MATCH($E154,Catalogo!$B$2:$B$29,0)),"")</f>
        <v/>
      </c>
      <c r="H154" s="11" t="str">
        <f aca="false">IFERROR(INDEX(Catalogo!$E$2:$E$29,MATCH($E154,Catalogo!$B$2:$B$29,0)),"")</f>
        <v/>
      </c>
      <c r="I154" s="31" t="str">
        <f aca="false">IFERROR(INDEX(Parametros!$C$13:$C$16,MATCH($F154,Parametros!$B$13:$B$16,0)),"")</f>
        <v/>
      </c>
      <c r="J154" s="36" t="str">
        <f aca="false">IFERROR(INDEX(Parametros!$E$13:$E$16,MATCH($F154,Parametros!$B$13:$B$16,0)),"")</f>
        <v/>
      </c>
      <c r="K154" s="33"/>
      <c r="L154" s="34" t="str">
        <f aca="false">IF(OR($K154="",$J154="",$J154=0),"",$K154+$J154)</f>
        <v/>
      </c>
      <c r="M154" s="29"/>
      <c r="N154" s="33"/>
      <c r="O154" s="33"/>
      <c r="P154" s="35" t="str">
        <f aca="false">IFERROR(INDEX(Parametros!$D$13:$D$16,MATCH($F154,Parametros!$B$13:$B$16,0)),"")</f>
        <v/>
      </c>
      <c r="Q154" s="30" t="str">
        <f aca="false">IF($F154="","",IF($F154="D","NAO","SIM"))</f>
        <v/>
      </c>
      <c r="R154" s="35" t="n">
        <f aca="false">IF(AND($M154="VERIFICADO",$Q154="SIM"),$P154,0)</f>
        <v>0</v>
      </c>
    </row>
    <row r="155" customFormat="false" ht="15" hidden="false" customHeight="false" outlineLevel="0" collapsed="false">
      <c r="A155" s="29"/>
      <c r="B155" s="29"/>
      <c r="C155" s="29"/>
      <c r="D155" s="29"/>
      <c r="E155" s="29"/>
      <c r="F155" s="30" t="str">
        <f aca="false">IFERROR(INDEX(Catalogo!$C$2:$C$29,MATCH($E155,Catalogo!$B$2:$B$29,0)),"")</f>
        <v/>
      </c>
      <c r="G155" s="11" t="str">
        <f aca="false">IFERROR(INDEX(Catalogo!$D$2:$D$29,MATCH($E155,Catalogo!$B$2:$B$29,0)),"")</f>
        <v/>
      </c>
      <c r="H155" s="11" t="str">
        <f aca="false">IFERROR(INDEX(Catalogo!$E$2:$E$29,MATCH($E155,Catalogo!$B$2:$B$29,0)),"")</f>
        <v/>
      </c>
      <c r="I155" s="31" t="str">
        <f aca="false">IFERROR(INDEX(Parametros!$C$13:$C$16,MATCH($F155,Parametros!$B$13:$B$16,0)),"")</f>
        <v/>
      </c>
      <c r="J155" s="36" t="str">
        <f aca="false">IFERROR(INDEX(Parametros!$E$13:$E$16,MATCH($F155,Parametros!$B$13:$B$16,0)),"")</f>
        <v/>
      </c>
      <c r="K155" s="33"/>
      <c r="L155" s="34" t="str">
        <f aca="false">IF(OR($K155="",$J155="",$J155=0),"",$K155+$J155)</f>
        <v/>
      </c>
      <c r="M155" s="29"/>
      <c r="N155" s="33"/>
      <c r="O155" s="33"/>
      <c r="P155" s="35" t="str">
        <f aca="false">IFERROR(INDEX(Parametros!$D$13:$D$16,MATCH($F155,Parametros!$B$13:$B$16,0)),"")</f>
        <v/>
      </c>
      <c r="Q155" s="30" t="str">
        <f aca="false">IF($F155="","",IF($F155="D","NAO","SIM"))</f>
        <v/>
      </c>
      <c r="R155" s="35" t="n">
        <f aca="false">IF(AND($M155="VERIFICADO",$Q155="SIM"),$P155,0)</f>
        <v>0</v>
      </c>
    </row>
    <row r="156" customFormat="false" ht="15" hidden="false" customHeight="false" outlineLevel="0" collapsed="false">
      <c r="A156" s="29"/>
      <c r="B156" s="29"/>
      <c r="C156" s="29"/>
      <c r="D156" s="29"/>
      <c r="E156" s="29"/>
      <c r="F156" s="30" t="str">
        <f aca="false">IFERROR(INDEX(Catalogo!$C$2:$C$29,MATCH($E156,Catalogo!$B$2:$B$29,0)),"")</f>
        <v/>
      </c>
      <c r="G156" s="11" t="str">
        <f aca="false">IFERROR(INDEX(Catalogo!$D$2:$D$29,MATCH($E156,Catalogo!$B$2:$B$29,0)),"")</f>
        <v/>
      </c>
      <c r="H156" s="11" t="str">
        <f aca="false">IFERROR(INDEX(Catalogo!$E$2:$E$29,MATCH($E156,Catalogo!$B$2:$B$29,0)),"")</f>
        <v/>
      </c>
      <c r="I156" s="31" t="str">
        <f aca="false">IFERROR(INDEX(Parametros!$C$13:$C$16,MATCH($F156,Parametros!$B$13:$B$16,0)),"")</f>
        <v/>
      </c>
      <c r="J156" s="36" t="str">
        <f aca="false">IFERROR(INDEX(Parametros!$E$13:$E$16,MATCH($F156,Parametros!$B$13:$B$16,0)),"")</f>
        <v/>
      </c>
      <c r="K156" s="33"/>
      <c r="L156" s="34" t="str">
        <f aca="false">IF(OR($K156="",$J156="",$J156=0),"",$K156+$J156)</f>
        <v/>
      </c>
      <c r="M156" s="29"/>
      <c r="N156" s="33"/>
      <c r="O156" s="33"/>
      <c r="P156" s="35" t="str">
        <f aca="false">IFERROR(INDEX(Parametros!$D$13:$D$16,MATCH($F156,Parametros!$B$13:$B$16,0)),"")</f>
        <v/>
      </c>
      <c r="Q156" s="30" t="str">
        <f aca="false">IF($F156="","",IF($F156="D","NAO","SIM"))</f>
        <v/>
      </c>
      <c r="R156" s="35" t="n">
        <f aca="false">IF(AND($M156="VERIFICADO",$Q156="SIM"),$P156,0)</f>
        <v>0</v>
      </c>
    </row>
    <row r="157" customFormat="false" ht="15" hidden="false" customHeight="false" outlineLevel="0" collapsed="false">
      <c r="A157" s="29"/>
      <c r="B157" s="29"/>
      <c r="C157" s="29"/>
      <c r="D157" s="29"/>
      <c r="E157" s="29"/>
      <c r="F157" s="30" t="str">
        <f aca="false">IFERROR(INDEX(Catalogo!$C$2:$C$29,MATCH($E157,Catalogo!$B$2:$B$29,0)),"")</f>
        <v/>
      </c>
      <c r="G157" s="11" t="str">
        <f aca="false">IFERROR(INDEX(Catalogo!$D$2:$D$29,MATCH($E157,Catalogo!$B$2:$B$29,0)),"")</f>
        <v/>
      </c>
      <c r="H157" s="11" t="str">
        <f aca="false">IFERROR(INDEX(Catalogo!$E$2:$E$29,MATCH($E157,Catalogo!$B$2:$B$29,0)),"")</f>
        <v/>
      </c>
      <c r="I157" s="31" t="str">
        <f aca="false">IFERROR(INDEX(Parametros!$C$13:$C$16,MATCH($F157,Parametros!$B$13:$B$16,0)),"")</f>
        <v/>
      </c>
      <c r="J157" s="36" t="str">
        <f aca="false">IFERROR(INDEX(Parametros!$E$13:$E$16,MATCH($F157,Parametros!$B$13:$B$16,0)),"")</f>
        <v/>
      </c>
      <c r="K157" s="33"/>
      <c r="L157" s="34" t="str">
        <f aca="false">IF(OR($K157="",$J157="",$J157=0),"",$K157+$J157)</f>
        <v/>
      </c>
      <c r="M157" s="29"/>
      <c r="N157" s="33"/>
      <c r="O157" s="33"/>
      <c r="P157" s="35" t="str">
        <f aca="false">IFERROR(INDEX(Parametros!$D$13:$D$16,MATCH($F157,Parametros!$B$13:$B$16,0)),"")</f>
        <v/>
      </c>
      <c r="Q157" s="30" t="str">
        <f aca="false">IF($F157="","",IF($F157="D","NAO","SIM"))</f>
        <v/>
      </c>
      <c r="R157" s="35" t="n">
        <f aca="false">IF(AND($M157="VERIFICADO",$Q157="SIM"),$P157,0)</f>
        <v>0</v>
      </c>
    </row>
    <row r="158" customFormat="false" ht="15" hidden="false" customHeight="false" outlineLevel="0" collapsed="false">
      <c r="A158" s="29"/>
      <c r="B158" s="29"/>
      <c r="C158" s="29"/>
      <c r="D158" s="29"/>
      <c r="E158" s="29"/>
      <c r="F158" s="30" t="str">
        <f aca="false">IFERROR(INDEX(Catalogo!$C$2:$C$29,MATCH($E158,Catalogo!$B$2:$B$29,0)),"")</f>
        <v/>
      </c>
      <c r="G158" s="11" t="str">
        <f aca="false">IFERROR(INDEX(Catalogo!$D$2:$D$29,MATCH($E158,Catalogo!$B$2:$B$29,0)),"")</f>
        <v/>
      </c>
      <c r="H158" s="11" t="str">
        <f aca="false">IFERROR(INDEX(Catalogo!$E$2:$E$29,MATCH($E158,Catalogo!$B$2:$B$29,0)),"")</f>
        <v/>
      </c>
      <c r="I158" s="31" t="str">
        <f aca="false">IFERROR(INDEX(Parametros!$C$13:$C$16,MATCH($F158,Parametros!$B$13:$B$16,0)),"")</f>
        <v/>
      </c>
      <c r="J158" s="36" t="str">
        <f aca="false">IFERROR(INDEX(Parametros!$E$13:$E$16,MATCH($F158,Parametros!$B$13:$B$16,0)),"")</f>
        <v/>
      </c>
      <c r="K158" s="33"/>
      <c r="L158" s="34" t="str">
        <f aca="false">IF(OR($K158="",$J158="",$J158=0),"",$K158+$J158)</f>
        <v/>
      </c>
      <c r="M158" s="29"/>
      <c r="N158" s="33"/>
      <c r="O158" s="33"/>
      <c r="P158" s="35" t="str">
        <f aca="false">IFERROR(INDEX(Parametros!$D$13:$D$16,MATCH($F158,Parametros!$B$13:$B$16,0)),"")</f>
        <v/>
      </c>
      <c r="Q158" s="30" t="str">
        <f aca="false">IF($F158="","",IF($F158="D","NAO","SIM"))</f>
        <v/>
      </c>
      <c r="R158" s="35" t="n">
        <f aca="false">IF(AND($M158="VERIFICADO",$Q158="SIM"),$P158,0)</f>
        <v>0</v>
      </c>
    </row>
    <row r="159" customFormat="false" ht="15" hidden="false" customHeight="false" outlineLevel="0" collapsed="false">
      <c r="A159" s="29"/>
      <c r="B159" s="29"/>
      <c r="C159" s="29"/>
      <c r="D159" s="29"/>
      <c r="E159" s="29"/>
      <c r="F159" s="30" t="str">
        <f aca="false">IFERROR(INDEX(Catalogo!$C$2:$C$29,MATCH($E159,Catalogo!$B$2:$B$29,0)),"")</f>
        <v/>
      </c>
      <c r="G159" s="11" t="str">
        <f aca="false">IFERROR(INDEX(Catalogo!$D$2:$D$29,MATCH($E159,Catalogo!$B$2:$B$29,0)),"")</f>
        <v/>
      </c>
      <c r="H159" s="11" t="str">
        <f aca="false">IFERROR(INDEX(Catalogo!$E$2:$E$29,MATCH($E159,Catalogo!$B$2:$B$29,0)),"")</f>
        <v/>
      </c>
      <c r="I159" s="31" t="str">
        <f aca="false">IFERROR(INDEX(Parametros!$C$13:$C$16,MATCH($F159,Parametros!$B$13:$B$16,0)),"")</f>
        <v/>
      </c>
      <c r="J159" s="36" t="str">
        <f aca="false">IFERROR(INDEX(Parametros!$E$13:$E$16,MATCH($F159,Parametros!$B$13:$B$16,0)),"")</f>
        <v/>
      </c>
      <c r="K159" s="33"/>
      <c r="L159" s="34" t="str">
        <f aca="false">IF(OR($K159="",$J159="",$J159=0),"",$K159+$J159)</f>
        <v/>
      </c>
      <c r="M159" s="29"/>
      <c r="N159" s="33"/>
      <c r="O159" s="33"/>
      <c r="P159" s="35" t="str">
        <f aca="false">IFERROR(INDEX(Parametros!$D$13:$D$16,MATCH($F159,Parametros!$B$13:$B$16,0)),"")</f>
        <v/>
      </c>
      <c r="Q159" s="30" t="str">
        <f aca="false">IF($F159="","",IF($F159="D","NAO","SIM"))</f>
        <v/>
      </c>
      <c r="R159" s="35" t="n">
        <f aca="false">IF(AND($M159="VERIFICADO",$Q159="SIM"),$P159,0)</f>
        <v>0</v>
      </c>
    </row>
    <row r="160" customFormat="false" ht="15" hidden="false" customHeight="false" outlineLevel="0" collapsed="false">
      <c r="A160" s="29"/>
      <c r="B160" s="29"/>
      <c r="C160" s="29"/>
      <c r="D160" s="29"/>
      <c r="E160" s="29"/>
      <c r="F160" s="30" t="str">
        <f aca="false">IFERROR(INDEX(Catalogo!$C$2:$C$29,MATCH($E160,Catalogo!$B$2:$B$29,0)),"")</f>
        <v/>
      </c>
      <c r="G160" s="11" t="str">
        <f aca="false">IFERROR(INDEX(Catalogo!$D$2:$D$29,MATCH($E160,Catalogo!$B$2:$B$29,0)),"")</f>
        <v/>
      </c>
      <c r="H160" s="11" t="str">
        <f aca="false">IFERROR(INDEX(Catalogo!$E$2:$E$29,MATCH($E160,Catalogo!$B$2:$B$29,0)),"")</f>
        <v/>
      </c>
      <c r="I160" s="31" t="str">
        <f aca="false">IFERROR(INDEX(Parametros!$C$13:$C$16,MATCH($F160,Parametros!$B$13:$B$16,0)),"")</f>
        <v/>
      </c>
      <c r="J160" s="36" t="str">
        <f aca="false">IFERROR(INDEX(Parametros!$E$13:$E$16,MATCH($F160,Parametros!$B$13:$B$16,0)),"")</f>
        <v/>
      </c>
      <c r="K160" s="33"/>
      <c r="L160" s="34" t="str">
        <f aca="false">IF(OR($K160="",$J160="",$J160=0),"",$K160+$J160)</f>
        <v/>
      </c>
      <c r="M160" s="29"/>
      <c r="N160" s="33"/>
      <c r="O160" s="33"/>
      <c r="P160" s="35" t="str">
        <f aca="false">IFERROR(INDEX(Parametros!$D$13:$D$16,MATCH($F160,Parametros!$B$13:$B$16,0)),"")</f>
        <v/>
      </c>
      <c r="Q160" s="30" t="str">
        <f aca="false">IF($F160="","",IF($F160="D","NAO","SIM"))</f>
        <v/>
      </c>
      <c r="R160" s="35" t="n">
        <f aca="false">IF(AND($M160="VERIFICADO",$Q160="SIM"),$P160,0)</f>
        <v>0</v>
      </c>
    </row>
    <row r="161" customFormat="false" ht="15" hidden="false" customHeight="false" outlineLevel="0" collapsed="false">
      <c r="A161" s="29"/>
      <c r="B161" s="29"/>
      <c r="C161" s="29"/>
      <c r="D161" s="29"/>
      <c r="E161" s="29"/>
      <c r="F161" s="30" t="str">
        <f aca="false">IFERROR(INDEX(Catalogo!$C$2:$C$29,MATCH($E161,Catalogo!$B$2:$B$29,0)),"")</f>
        <v/>
      </c>
      <c r="G161" s="11" t="str">
        <f aca="false">IFERROR(INDEX(Catalogo!$D$2:$D$29,MATCH($E161,Catalogo!$B$2:$B$29,0)),"")</f>
        <v/>
      </c>
      <c r="H161" s="11" t="str">
        <f aca="false">IFERROR(INDEX(Catalogo!$E$2:$E$29,MATCH($E161,Catalogo!$B$2:$B$29,0)),"")</f>
        <v/>
      </c>
      <c r="I161" s="31" t="str">
        <f aca="false">IFERROR(INDEX(Parametros!$C$13:$C$16,MATCH($F161,Parametros!$B$13:$B$16,0)),"")</f>
        <v/>
      </c>
      <c r="J161" s="36" t="str">
        <f aca="false">IFERROR(INDEX(Parametros!$E$13:$E$16,MATCH($F161,Parametros!$B$13:$B$16,0)),"")</f>
        <v/>
      </c>
      <c r="K161" s="33"/>
      <c r="L161" s="34" t="str">
        <f aca="false">IF(OR($K161="",$J161="",$J161=0),"",$K161+$J161)</f>
        <v/>
      </c>
      <c r="M161" s="29"/>
      <c r="N161" s="33"/>
      <c r="O161" s="33"/>
      <c r="P161" s="35" t="str">
        <f aca="false">IFERROR(INDEX(Parametros!$D$13:$D$16,MATCH($F161,Parametros!$B$13:$B$16,0)),"")</f>
        <v/>
      </c>
      <c r="Q161" s="30" t="str">
        <f aca="false">IF($F161="","",IF($F161="D","NAO","SIM"))</f>
        <v/>
      </c>
      <c r="R161" s="35" t="n">
        <f aca="false">IF(AND($M161="VERIFICADO",$Q161="SIM"),$P161,0)</f>
        <v>0</v>
      </c>
    </row>
    <row r="162" customFormat="false" ht="15" hidden="false" customHeight="false" outlineLevel="0" collapsed="false">
      <c r="A162" s="29"/>
      <c r="B162" s="29"/>
      <c r="C162" s="29"/>
      <c r="D162" s="29"/>
      <c r="E162" s="29"/>
      <c r="F162" s="30" t="str">
        <f aca="false">IFERROR(INDEX(Catalogo!$C$2:$C$29,MATCH($E162,Catalogo!$B$2:$B$29,0)),"")</f>
        <v/>
      </c>
      <c r="G162" s="11" t="str">
        <f aca="false">IFERROR(INDEX(Catalogo!$D$2:$D$29,MATCH($E162,Catalogo!$B$2:$B$29,0)),"")</f>
        <v/>
      </c>
      <c r="H162" s="11" t="str">
        <f aca="false">IFERROR(INDEX(Catalogo!$E$2:$E$29,MATCH($E162,Catalogo!$B$2:$B$29,0)),"")</f>
        <v/>
      </c>
      <c r="I162" s="31" t="str">
        <f aca="false">IFERROR(INDEX(Parametros!$C$13:$C$16,MATCH($F162,Parametros!$B$13:$B$16,0)),"")</f>
        <v/>
      </c>
      <c r="J162" s="36" t="str">
        <f aca="false">IFERROR(INDEX(Parametros!$E$13:$E$16,MATCH($F162,Parametros!$B$13:$B$16,0)),"")</f>
        <v/>
      </c>
      <c r="K162" s="33"/>
      <c r="L162" s="34" t="str">
        <f aca="false">IF(OR($K162="",$J162="",$J162=0),"",$K162+$J162)</f>
        <v/>
      </c>
      <c r="M162" s="29"/>
      <c r="N162" s="33"/>
      <c r="O162" s="33"/>
      <c r="P162" s="35" t="str">
        <f aca="false">IFERROR(INDEX(Parametros!$D$13:$D$16,MATCH($F162,Parametros!$B$13:$B$16,0)),"")</f>
        <v/>
      </c>
      <c r="Q162" s="30" t="str">
        <f aca="false">IF($F162="","",IF($F162="D","NAO","SIM"))</f>
        <v/>
      </c>
      <c r="R162" s="35" t="n">
        <f aca="false">IF(AND($M162="VERIFICADO",$Q162="SIM"),$P162,0)</f>
        <v>0</v>
      </c>
    </row>
    <row r="163" customFormat="false" ht="15" hidden="false" customHeight="false" outlineLevel="0" collapsed="false">
      <c r="A163" s="29"/>
      <c r="B163" s="29"/>
      <c r="C163" s="29"/>
      <c r="D163" s="29"/>
      <c r="E163" s="29"/>
      <c r="F163" s="30" t="str">
        <f aca="false">IFERROR(INDEX(Catalogo!$C$2:$C$29,MATCH($E163,Catalogo!$B$2:$B$29,0)),"")</f>
        <v/>
      </c>
      <c r="G163" s="11" t="str">
        <f aca="false">IFERROR(INDEX(Catalogo!$D$2:$D$29,MATCH($E163,Catalogo!$B$2:$B$29,0)),"")</f>
        <v/>
      </c>
      <c r="H163" s="11" t="str">
        <f aca="false">IFERROR(INDEX(Catalogo!$E$2:$E$29,MATCH($E163,Catalogo!$B$2:$B$29,0)),"")</f>
        <v/>
      </c>
      <c r="I163" s="31" t="str">
        <f aca="false">IFERROR(INDEX(Parametros!$C$13:$C$16,MATCH($F163,Parametros!$B$13:$B$16,0)),"")</f>
        <v/>
      </c>
      <c r="J163" s="36" t="str">
        <f aca="false">IFERROR(INDEX(Parametros!$E$13:$E$16,MATCH($F163,Parametros!$B$13:$B$16,0)),"")</f>
        <v/>
      </c>
      <c r="K163" s="33"/>
      <c r="L163" s="34" t="str">
        <f aca="false">IF(OR($K163="",$J163="",$J163=0),"",$K163+$J163)</f>
        <v/>
      </c>
      <c r="M163" s="29"/>
      <c r="N163" s="33"/>
      <c r="O163" s="33"/>
      <c r="P163" s="35" t="str">
        <f aca="false">IFERROR(INDEX(Parametros!$D$13:$D$16,MATCH($F163,Parametros!$B$13:$B$16,0)),"")</f>
        <v/>
      </c>
      <c r="Q163" s="30" t="str">
        <f aca="false">IF($F163="","",IF($F163="D","NAO","SIM"))</f>
        <v/>
      </c>
      <c r="R163" s="35" t="n">
        <f aca="false">IF(AND($M163="VERIFICADO",$Q163="SIM"),$P163,0)</f>
        <v>0</v>
      </c>
    </row>
    <row r="164" customFormat="false" ht="15" hidden="false" customHeight="false" outlineLevel="0" collapsed="false">
      <c r="A164" s="29"/>
      <c r="B164" s="29"/>
      <c r="C164" s="29"/>
      <c r="D164" s="29"/>
      <c r="E164" s="29"/>
      <c r="F164" s="30" t="str">
        <f aca="false">IFERROR(INDEX(Catalogo!$C$2:$C$29,MATCH($E164,Catalogo!$B$2:$B$29,0)),"")</f>
        <v/>
      </c>
      <c r="G164" s="11" t="str">
        <f aca="false">IFERROR(INDEX(Catalogo!$D$2:$D$29,MATCH($E164,Catalogo!$B$2:$B$29,0)),"")</f>
        <v/>
      </c>
      <c r="H164" s="11" t="str">
        <f aca="false">IFERROR(INDEX(Catalogo!$E$2:$E$29,MATCH($E164,Catalogo!$B$2:$B$29,0)),"")</f>
        <v/>
      </c>
      <c r="I164" s="31" t="str">
        <f aca="false">IFERROR(INDEX(Parametros!$C$13:$C$16,MATCH($F164,Parametros!$B$13:$B$16,0)),"")</f>
        <v/>
      </c>
      <c r="J164" s="36" t="str">
        <f aca="false">IFERROR(INDEX(Parametros!$E$13:$E$16,MATCH($F164,Parametros!$B$13:$B$16,0)),"")</f>
        <v/>
      </c>
      <c r="K164" s="33"/>
      <c r="L164" s="34" t="str">
        <f aca="false">IF(OR($K164="",$J164="",$J164=0),"",$K164+$J164)</f>
        <v/>
      </c>
      <c r="M164" s="29"/>
      <c r="N164" s="33"/>
      <c r="O164" s="33"/>
      <c r="P164" s="35" t="str">
        <f aca="false">IFERROR(INDEX(Parametros!$D$13:$D$16,MATCH($F164,Parametros!$B$13:$B$16,0)),"")</f>
        <v/>
      </c>
      <c r="Q164" s="30" t="str">
        <f aca="false">IF($F164="","",IF($F164="D","NAO","SIM"))</f>
        <v/>
      </c>
      <c r="R164" s="35" t="n">
        <f aca="false">IF(AND($M164="VERIFICADO",$Q164="SIM"),$P164,0)</f>
        <v>0</v>
      </c>
    </row>
    <row r="165" customFormat="false" ht="15" hidden="false" customHeight="false" outlineLevel="0" collapsed="false">
      <c r="A165" s="29"/>
      <c r="B165" s="29"/>
      <c r="C165" s="29"/>
      <c r="D165" s="29"/>
      <c r="E165" s="29"/>
      <c r="F165" s="30" t="str">
        <f aca="false">IFERROR(INDEX(Catalogo!$C$2:$C$29,MATCH($E165,Catalogo!$B$2:$B$29,0)),"")</f>
        <v/>
      </c>
      <c r="G165" s="11" t="str">
        <f aca="false">IFERROR(INDEX(Catalogo!$D$2:$D$29,MATCH($E165,Catalogo!$B$2:$B$29,0)),"")</f>
        <v/>
      </c>
      <c r="H165" s="11" t="str">
        <f aca="false">IFERROR(INDEX(Catalogo!$E$2:$E$29,MATCH($E165,Catalogo!$B$2:$B$29,0)),"")</f>
        <v/>
      </c>
      <c r="I165" s="31" t="str">
        <f aca="false">IFERROR(INDEX(Parametros!$C$13:$C$16,MATCH($F165,Parametros!$B$13:$B$16,0)),"")</f>
        <v/>
      </c>
      <c r="J165" s="36" t="str">
        <f aca="false">IFERROR(INDEX(Parametros!$E$13:$E$16,MATCH($F165,Parametros!$B$13:$B$16,0)),"")</f>
        <v/>
      </c>
      <c r="K165" s="33"/>
      <c r="L165" s="34" t="str">
        <f aca="false">IF(OR($K165="",$J165="",$J165=0),"",$K165+$J165)</f>
        <v/>
      </c>
      <c r="M165" s="29"/>
      <c r="N165" s="33"/>
      <c r="O165" s="33"/>
      <c r="P165" s="35" t="str">
        <f aca="false">IFERROR(INDEX(Parametros!$D$13:$D$16,MATCH($F165,Parametros!$B$13:$B$16,0)),"")</f>
        <v/>
      </c>
      <c r="Q165" s="30" t="str">
        <f aca="false">IF($F165="","",IF($F165="D","NAO","SIM"))</f>
        <v/>
      </c>
      <c r="R165" s="35" t="n">
        <f aca="false">IF(AND($M165="VERIFICADO",$Q165="SIM"),$P165,0)</f>
        <v>0</v>
      </c>
    </row>
    <row r="166" customFormat="false" ht="15" hidden="false" customHeight="false" outlineLevel="0" collapsed="false">
      <c r="A166" s="29"/>
      <c r="B166" s="29"/>
      <c r="C166" s="29"/>
      <c r="D166" s="29"/>
      <c r="E166" s="29"/>
      <c r="F166" s="30" t="str">
        <f aca="false">IFERROR(INDEX(Catalogo!$C$2:$C$29,MATCH($E166,Catalogo!$B$2:$B$29,0)),"")</f>
        <v/>
      </c>
      <c r="G166" s="11" t="str">
        <f aca="false">IFERROR(INDEX(Catalogo!$D$2:$D$29,MATCH($E166,Catalogo!$B$2:$B$29,0)),"")</f>
        <v/>
      </c>
      <c r="H166" s="11" t="str">
        <f aca="false">IFERROR(INDEX(Catalogo!$E$2:$E$29,MATCH($E166,Catalogo!$B$2:$B$29,0)),"")</f>
        <v/>
      </c>
      <c r="I166" s="31" t="str">
        <f aca="false">IFERROR(INDEX(Parametros!$C$13:$C$16,MATCH($F166,Parametros!$B$13:$B$16,0)),"")</f>
        <v/>
      </c>
      <c r="J166" s="36" t="str">
        <f aca="false">IFERROR(INDEX(Parametros!$E$13:$E$16,MATCH($F166,Parametros!$B$13:$B$16,0)),"")</f>
        <v/>
      </c>
      <c r="K166" s="33"/>
      <c r="L166" s="34" t="str">
        <f aca="false">IF(OR($K166="",$J166="",$J166=0),"",$K166+$J166)</f>
        <v/>
      </c>
      <c r="M166" s="29"/>
      <c r="N166" s="33"/>
      <c r="O166" s="33"/>
      <c r="P166" s="35" t="str">
        <f aca="false">IFERROR(INDEX(Parametros!$D$13:$D$16,MATCH($F166,Parametros!$B$13:$B$16,0)),"")</f>
        <v/>
      </c>
      <c r="Q166" s="30" t="str">
        <f aca="false">IF($F166="","",IF($F166="D","NAO","SIM"))</f>
        <v/>
      </c>
      <c r="R166" s="35" t="n">
        <f aca="false">IF(AND($M166="VERIFICADO",$Q166="SIM"),$P166,0)</f>
        <v>0</v>
      </c>
    </row>
    <row r="167" customFormat="false" ht="15" hidden="false" customHeight="false" outlineLevel="0" collapsed="false">
      <c r="A167" s="29"/>
      <c r="B167" s="29"/>
      <c r="C167" s="29"/>
      <c r="D167" s="29"/>
      <c r="E167" s="29"/>
      <c r="F167" s="30" t="str">
        <f aca="false">IFERROR(INDEX(Catalogo!$C$2:$C$29,MATCH($E167,Catalogo!$B$2:$B$29,0)),"")</f>
        <v/>
      </c>
      <c r="G167" s="11" t="str">
        <f aca="false">IFERROR(INDEX(Catalogo!$D$2:$D$29,MATCH($E167,Catalogo!$B$2:$B$29,0)),"")</f>
        <v/>
      </c>
      <c r="H167" s="11" t="str">
        <f aca="false">IFERROR(INDEX(Catalogo!$E$2:$E$29,MATCH($E167,Catalogo!$B$2:$B$29,0)),"")</f>
        <v/>
      </c>
      <c r="I167" s="31" t="str">
        <f aca="false">IFERROR(INDEX(Parametros!$C$13:$C$16,MATCH($F167,Parametros!$B$13:$B$16,0)),"")</f>
        <v/>
      </c>
      <c r="J167" s="36" t="str">
        <f aca="false">IFERROR(INDEX(Parametros!$E$13:$E$16,MATCH($F167,Parametros!$B$13:$B$16,0)),"")</f>
        <v/>
      </c>
      <c r="K167" s="33"/>
      <c r="L167" s="34" t="str">
        <f aca="false">IF(OR($K167="",$J167="",$J167=0),"",$K167+$J167)</f>
        <v/>
      </c>
      <c r="M167" s="29"/>
      <c r="N167" s="33"/>
      <c r="O167" s="33"/>
      <c r="P167" s="35" t="str">
        <f aca="false">IFERROR(INDEX(Parametros!$D$13:$D$16,MATCH($F167,Parametros!$B$13:$B$16,0)),"")</f>
        <v/>
      </c>
      <c r="Q167" s="30" t="str">
        <f aca="false">IF($F167="","",IF($F167="D","NAO","SIM"))</f>
        <v/>
      </c>
      <c r="R167" s="35" t="n">
        <f aca="false">IF(AND($M167="VERIFICADO",$Q167="SIM"),$P167,0)</f>
        <v>0</v>
      </c>
    </row>
    <row r="168" customFormat="false" ht="15" hidden="false" customHeight="false" outlineLevel="0" collapsed="false">
      <c r="A168" s="29"/>
      <c r="B168" s="29"/>
      <c r="C168" s="29"/>
      <c r="D168" s="29"/>
      <c r="E168" s="29"/>
      <c r="F168" s="30" t="str">
        <f aca="false">IFERROR(INDEX(Catalogo!$C$2:$C$29,MATCH($E168,Catalogo!$B$2:$B$29,0)),"")</f>
        <v/>
      </c>
      <c r="G168" s="11" t="str">
        <f aca="false">IFERROR(INDEX(Catalogo!$D$2:$D$29,MATCH($E168,Catalogo!$B$2:$B$29,0)),"")</f>
        <v/>
      </c>
      <c r="H168" s="11" t="str">
        <f aca="false">IFERROR(INDEX(Catalogo!$E$2:$E$29,MATCH($E168,Catalogo!$B$2:$B$29,0)),"")</f>
        <v/>
      </c>
      <c r="I168" s="31" t="str">
        <f aca="false">IFERROR(INDEX(Parametros!$C$13:$C$16,MATCH($F168,Parametros!$B$13:$B$16,0)),"")</f>
        <v/>
      </c>
      <c r="J168" s="36" t="str">
        <f aca="false">IFERROR(INDEX(Parametros!$E$13:$E$16,MATCH($F168,Parametros!$B$13:$B$16,0)),"")</f>
        <v/>
      </c>
      <c r="K168" s="33"/>
      <c r="L168" s="34" t="str">
        <f aca="false">IF(OR($K168="",$J168="",$J168=0),"",$K168+$J168)</f>
        <v/>
      </c>
      <c r="M168" s="29"/>
      <c r="N168" s="33"/>
      <c r="O168" s="33"/>
      <c r="P168" s="35" t="str">
        <f aca="false">IFERROR(INDEX(Parametros!$D$13:$D$16,MATCH($F168,Parametros!$B$13:$B$16,0)),"")</f>
        <v/>
      </c>
      <c r="Q168" s="30" t="str">
        <f aca="false">IF($F168="","",IF($F168="D","NAO","SIM"))</f>
        <v/>
      </c>
      <c r="R168" s="35" t="n">
        <f aca="false">IF(AND($M168="VERIFICADO",$Q168="SIM"),$P168,0)</f>
        <v>0</v>
      </c>
    </row>
    <row r="169" customFormat="false" ht="15" hidden="false" customHeight="false" outlineLevel="0" collapsed="false">
      <c r="A169" s="29"/>
      <c r="B169" s="29"/>
      <c r="C169" s="29"/>
      <c r="D169" s="29"/>
      <c r="E169" s="29"/>
      <c r="F169" s="30" t="str">
        <f aca="false">IFERROR(INDEX(Catalogo!$C$2:$C$29,MATCH($E169,Catalogo!$B$2:$B$29,0)),"")</f>
        <v/>
      </c>
      <c r="G169" s="11" t="str">
        <f aca="false">IFERROR(INDEX(Catalogo!$D$2:$D$29,MATCH($E169,Catalogo!$B$2:$B$29,0)),"")</f>
        <v/>
      </c>
      <c r="H169" s="11" t="str">
        <f aca="false">IFERROR(INDEX(Catalogo!$E$2:$E$29,MATCH($E169,Catalogo!$B$2:$B$29,0)),"")</f>
        <v/>
      </c>
      <c r="I169" s="31" t="str">
        <f aca="false">IFERROR(INDEX(Parametros!$C$13:$C$16,MATCH($F169,Parametros!$B$13:$B$16,0)),"")</f>
        <v/>
      </c>
      <c r="J169" s="36" t="str">
        <f aca="false">IFERROR(INDEX(Parametros!$E$13:$E$16,MATCH($F169,Parametros!$B$13:$B$16,0)),"")</f>
        <v/>
      </c>
      <c r="K169" s="33"/>
      <c r="L169" s="34" t="str">
        <f aca="false">IF(OR($K169="",$J169="",$J169=0),"",$K169+$J169)</f>
        <v/>
      </c>
      <c r="M169" s="29"/>
      <c r="N169" s="33"/>
      <c r="O169" s="33"/>
      <c r="P169" s="35" t="str">
        <f aca="false">IFERROR(INDEX(Parametros!$D$13:$D$16,MATCH($F169,Parametros!$B$13:$B$16,0)),"")</f>
        <v/>
      </c>
      <c r="Q169" s="30" t="str">
        <f aca="false">IF($F169="","",IF($F169="D","NAO","SIM"))</f>
        <v/>
      </c>
      <c r="R169" s="35" t="n">
        <f aca="false">IF(AND($M169="VERIFICADO",$Q169="SIM"),$P169,0)</f>
        <v>0</v>
      </c>
    </row>
    <row r="170" customFormat="false" ht="15" hidden="false" customHeight="false" outlineLevel="0" collapsed="false">
      <c r="A170" s="29"/>
      <c r="B170" s="29"/>
      <c r="C170" s="29"/>
      <c r="D170" s="29"/>
      <c r="E170" s="29"/>
      <c r="F170" s="30" t="str">
        <f aca="false">IFERROR(INDEX(Catalogo!$C$2:$C$29,MATCH($E170,Catalogo!$B$2:$B$29,0)),"")</f>
        <v/>
      </c>
      <c r="G170" s="11" t="str">
        <f aca="false">IFERROR(INDEX(Catalogo!$D$2:$D$29,MATCH($E170,Catalogo!$B$2:$B$29,0)),"")</f>
        <v/>
      </c>
      <c r="H170" s="11" t="str">
        <f aca="false">IFERROR(INDEX(Catalogo!$E$2:$E$29,MATCH($E170,Catalogo!$B$2:$B$29,0)),"")</f>
        <v/>
      </c>
      <c r="I170" s="31" t="str">
        <f aca="false">IFERROR(INDEX(Parametros!$C$13:$C$16,MATCH($F170,Parametros!$B$13:$B$16,0)),"")</f>
        <v/>
      </c>
      <c r="J170" s="36" t="str">
        <f aca="false">IFERROR(INDEX(Parametros!$E$13:$E$16,MATCH($F170,Parametros!$B$13:$B$16,0)),"")</f>
        <v/>
      </c>
      <c r="K170" s="33"/>
      <c r="L170" s="34" t="str">
        <f aca="false">IF(OR($K170="",$J170="",$J170=0),"",$K170+$J170)</f>
        <v/>
      </c>
      <c r="M170" s="29"/>
      <c r="N170" s="33"/>
      <c r="O170" s="33"/>
      <c r="P170" s="35" t="str">
        <f aca="false">IFERROR(INDEX(Parametros!$D$13:$D$16,MATCH($F170,Parametros!$B$13:$B$16,0)),"")</f>
        <v/>
      </c>
      <c r="Q170" s="30" t="str">
        <f aca="false">IF($F170="","",IF($F170="D","NAO","SIM"))</f>
        <v/>
      </c>
      <c r="R170" s="35" t="n">
        <f aca="false">IF(AND($M170="VERIFICADO",$Q170="SIM"),$P170,0)</f>
        <v>0</v>
      </c>
    </row>
    <row r="171" customFormat="false" ht="15" hidden="false" customHeight="false" outlineLevel="0" collapsed="false">
      <c r="A171" s="29"/>
      <c r="B171" s="29"/>
      <c r="C171" s="29"/>
      <c r="D171" s="29"/>
      <c r="E171" s="29"/>
      <c r="F171" s="30" t="str">
        <f aca="false">IFERROR(INDEX(Catalogo!$C$2:$C$29,MATCH($E171,Catalogo!$B$2:$B$29,0)),"")</f>
        <v/>
      </c>
      <c r="G171" s="11" t="str">
        <f aca="false">IFERROR(INDEX(Catalogo!$D$2:$D$29,MATCH($E171,Catalogo!$B$2:$B$29,0)),"")</f>
        <v/>
      </c>
      <c r="H171" s="11" t="str">
        <f aca="false">IFERROR(INDEX(Catalogo!$E$2:$E$29,MATCH($E171,Catalogo!$B$2:$B$29,0)),"")</f>
        <v/>
      </c>
      <c r="I171" s="31" t="str">
        <f aca="false">IFERROR(INDEX(Parametros!$C$13:$C$16,MATCH($F171,Parametros!$B$13:$B$16,0)),"")</f>
        <v/>
      </c>
      <c r="J171" s="36" t="str">
        <f aca="false">IFERROR(INDEX(Parametros!$E$13:$E$16,MATCH($F171,Parametros!$B$13:$B$16,0)),"")</f>
        <v/>
      </c>
      <c r="K171" s="33"/>
      <c r="L171" s="34" t="str">
        <f aca="false">IF(OR($K171="",$J171="",$J171=0),"",$K171+$J171)</f>
        <v/>
      </c>
      <c r="M171" s="29"/>
      <c r="N171" s="33"/>
      <c r="O171" s="33"/>
      <c r="P171" s="35" t="str">
        <f aca="false">IFERROR(INDEX(Parametros!$D$13:$D$16,MATCH($F171,Parametros!$B$13:$B$16,0)),"")</f>
        <v/>
      </c>
      <c r="Q171" s="30" t="str">
        <f aca="false">IF($F171="","",IF($F171="D","NAO","SIM"))</f>
        <v/>
      </c>
      <c r="R171" s="35" t="n">
        <f aca="false">IF(AND($M171="VERIFICADO",$Q171="SIM"),$P171,0)</f>
        <v>0</v>
      </c>
    </row>
    <row r="172" customFormat="false" ht="15" hidden="false" customHeight="false" outlineLevel="0" collapsed="false">
      <c r="A172" s="29"/>
      <c r="B172" s="29"/>
      <c r="C172" s="29"/>
      <c r="D172" s="29"/>
      <c r="E172" s="29"/>
      <c r="F172" s="30" t="str">
        <f aca="false">IFERROR(INDEX(Catalogo!$C$2:$C$29,MATCH($E172,Catalogo!$B$2:$B$29,0)),"")</f>
        <v/>
      </c>
      <c r="G172" s="11" t="str">
        <f aca="false">IFERROR(INDEX(Catalogo!$D$2:$D$29,MATCH($E172,Catalogo!$B$2:$B$29,0)),"")</f>
        <v/>
      </c>
      <c r="H172" s="11" t="str">
        <f aca="false">IFERROR(INDEX(Catalogo!$E$2:$E$29,MATCH($E172,Catalogo!$B$2:$B$29,0)),"")</f>
        <v/>
      </c>
      <c r="I172" s="31" t="str">
        <f aca="false">IFERROR(INDEX(Parametros!$C$13:$C$16,MATCH($F172,Parametros!$B$13:$B$16,0)),"")</f>
        <v/>
      </c>
      <c r="J172" s="36" t="str">
        <f aca="false">IFERROR(INDEX(Parametros!$E$13:$E$16,MATCH($F172,Parametros!$B$13:$B$16,0)),"")</f>
        <v/>
      </c>
      <c r="K172" s="33"/>
      <c r="L172" s="34" t="str">
        <f aca="false">IF(OR($K172="",$J172="",$J172=0),"",$K172+$J172)</f>
        <v/>
      </c>
      <c r="M172" s="29"/>
      <c r="N172" s="33"/>
      <c r="O172" s="33"/>
      <c r="P172" s="35" t="str">
        <f aca="false">IFERROR(INDEX(Parametros!$D$13:$D$16,MATCH($F172,Parametros!$B$13:$B$16,0)),"")</f>
        <v/>
      </c>
      <c r="Q172" s="30" t="str">
        <f aca="false">IF($F172="","",IF($F172="D","NAO","SIM"))</f>
        <v/>
      </c>
      <c r="R172" s="35" t="n">
        <f aca="false">IF(AND($M172="VERIFICADO",$Q172="SIM"),$P172,0)</f>
        <v>0</v>
      </c>
    </row>
    <row r="173" customFormat="false" ht="15" hidden="false" customHeight="false" outlineLevel="0" collapsed="false">
      <c r="A173" s="29"/>
      <c r="B173" s="29"/>
      <c r="C173" s="29"/>
      <c r="D173" s="29"/>
      <c r="E173" s="29"/>
      <c r="F173" s="30" t="str">
        <f aca="false">IFERROR(INDEX(Catalogo!$C$2:$C$29,MATCH($E173,Catalogo!$B$2:$B$29,0)),"")</f>
        <v/>
      </c>
      <c r="G173" s="11" t="str">
        <f aca="false">IFERROR(INDEX(Catalogo!$D$2:$D$29,MATCH($E173,Catalogo!$B$2:$B$29,0)),"")</f>
        <v/>
      </c>
      <c r="H173" s="11" t="str">
        <f aca="false">IFERROR(INDEX(Catalogo!$E$2:$E$29,MATCH($E173,Catalogo!$B$2:$B$29,0)),"")</f>
        <v/>
      </c>
      <c r="I173" s="31" t="str">
        <f aca="false">IFERROR(INDEX(Parametros!$C$13:$C$16,MATCH($F173,Parametros!$B$13:$B$16,0)),"")</f>
        <v/>
      </c>
      <c r="J173" s="36" t="str">
        <f aca="false">IFERROR(INDEX(Parametros!$E$13:$E$16,MATCH($F173,Parametros!$B$13:$B$16,0)),"")</f>
        <v/>
      </c>
      <c r="K173" s="33"/>
      <c r="L173" s="34" t="str">
        <f aca="false">IF(OR($K173="",$J173="",$J173=0),"",$K173+$J173)</f>
        <v/>
      </c>
      <c r="M173" s="29"/>
      <c r="N173" s="33"/>
      <c r="O173" s="33"/>
      <c r="P173" s="35" t="str">
        <f aca="false">IFERROR(INDEX(Parametros!$D$13:$D$16,MATCH($F173,Parametros!$B$13:$B$16,0)),"")</f>
        <v/>
      </c>
      <c r="Q173" s="30" t="str">
        <f aca="false">IF($F173="","",IF($F173="D","NAO","SIM"))</f>
        <v/>
      </c>
      <c r="R173" s="35" t="n">
        <f aca="false">IF(AND($M173="VERIFICADO",$Q173="SIM"),$P173,0)</f>
        <v>0</v>
      </c>
    </row>
    <row r="174" customFormat="false" ht="15" hidden="false" customHeight="false" outlineLevel="0" collapsed="false">
      <c r="A174" s="29"/>
      <c r="B174" s="29"/>
      <c r="C174" s="29"/>
      <c r="D174" s="29"/>
      <c r="E174" s="29"/>
      <c r="F174" s="30" t="str">
        <f aca="false">IFERROR(INDEX(Catalogo!$C$2:$C$29,MATCH($E174,Catalogo!$B$2:$B$29,0)),"")</f>
        <v/>
      </c>
      <c r="G174" s="11" t="str">
        <f aca="false">IFERROR(INDEX(Catalogo!$D$2:$D$29,MATCH($E174,Catalogo!$B$2:$B$29,0)),"")</f>
        <v/>
      </c>
      <c r="H174" s="11" t="str">
        <f aca="false">IFERROR(INDEX(Catalogo!$E$2:$E$29,MATCH($E174,Catalogo!$B$2:$B$29,0)),"")</f>
        <v/>
      </c>
      <c r="I174" s="31" t="str">
        <f aca="false">IFERROR(INDEX(Parametros!$C$13:$C$16,MATCH($F174,Parametros!$B$13:$B$16,0)),"")</f>
        <v/>
      </c>
      <c r="J174" s="36" t="str">
        <f aca="false">IFERROR(INDEX(Parametros!$E$13:$E$16,MATCH($F174,Parametros!$B$13:$B$16,0)),"")</f>
        <v/>
      </c>
      <c r="K174" s="33"/>
      <c r="L174" s="34" t="str">
        <f aca="false">IF(OR($K174="",$J174="",$J174=0),"",$K174+$J174)</f>
        <v/>
      </c>
      <c r="M174" s="29"/>
      <c r="N174" s="33"/>
      <c r="O174" s="33"/>
      <c r="P174" s="35" t="str">
        <f aca="false">IFERROR(INDEX(Parametros!$D$13:$D$16,MATCH($F174,Parametros!$B$13:$B$16,0)),"")</f>
        <v/>
      </c>
      <c r="Q174" s="30" t="str">
        <f aca="false">IF($F174="","",IF($F174="D","NAO","SIM"))</f>
        <v/>
      </c>
      <c r="R174" s="35" t="n">
        <f aca="false">IF(AND($M174="VERIFICADO",$Q174="SIM"),$P174,0)</f>
        <v>0</v>
      </c>
    </row>
    <row r="175" customFormat="false" ht="15" hidden="false" customHeight="false" outlineLevel="0" collapsed="false">
      <c r="A175" s="29"/>
      <c r="B175" s="29"/>
      <c r="C175" s="29"/>
      <c r="D175" s="29"/>
      <c r="E175" s="29"/>
      <c r="F175" s="30" t="str">
        <f aca="false">IFERROR(INDEX(Catalogo!$C$2:$C$29,MATCH($E175,Catalogo!$B$2:$B$29,0)),"")</f>
        <v/>
      </c>
      <c r="G175" s="11" t="str">
        <f aca="false">IFERROR(INDEX(Catalogo!$D$2:$D$29,MATCH($E175,Catalogo!$B$2:$B$29,0)),"")</f>
        <v/>
      </c>
      <c r="H175" s="11" t="str">
        <f aca="false">IFERROR(INDEX(Catalogo!$E$2:$E$29,MATCH($E175,Catalogo!$B$2:$B$29,0)),"")</f>
        <v/>
      </c>
      <c r="I175" s="31" t="str">
        <f aca="false">IFERROR(INDEX(Parametros!$C$13:$C$16,MATCH($F175,Parametros!$B$13:$B$16,0)),"")</f>
        <v/>
      </c>
      <c r="J175" s="36" t="str">
        <f aca="false">IFERROR(INDEX(Parametros!$E$13:$E$16,MATCH($F175,Parametros!$B$13:$B$16,0)),"")</f>
        <v/>
      </c>
      <c r="K175" s="33"/>
      <c r="L175" s="34" t="str">
        <f aca="false">IF(OR($K175="",$J175="",$J175=0),"",$K175+$J175)</f>
        <v/>
      </c>
      <c r="M175" s="29"/>
      <c r="N175" s="33"/>
      <c r="O175" s="33"/>
      <c r="P175" s="35" t="str">
        <f aca="false">IFERROR(INDEX(Parametros!$D$13:$D$16,MATCH($F175,Parametros!$B$13:$B$16,0)),"")</f>
        <v/>
      </c>
      <c r="Q175" s="30" t="str">
        <f aca="false">IF($F175="","",IF($F175="D","NAO","SIM"))</f>
        <v/>
      </c>
      <c r="R175" s="35" t="n">
        <f aca="false">IF(AND($M175="VERIFICADO",$Q175="SIM"),$P175,0)</f>
        <v>0</v>
      </c>
    </row>
    <row r="176" customFormat="false" ht="15" hidden="false" customHeight="false" outlineLevel="0" collapsed="false">
      <c r="A176" s="29"/>
      <c r="B176" s="29"/>
      <c r="C176" s="29"/>
      <c r="D176" s="29"/>
      <c r="E176" s="29"/>
      <c r="F176" s="30" t="str">
        <f aca="false">IFERROR(INDEX(Catalogo!$C$2:$C$29,MATCH($E176,Catalogo!$B$2:$B$29,0)),"")</f>
        <v/>
      </c>
      <c r="G176" s="11" t="str">
        <f aca="false">IFERROR(INDEX(Catalogo!$D$2:$D$29,MATCH($E176,Catalogo!$B$2:$B$29,0)),"")</f>
        <v/>
      </c>
      <c r="H176" s="11" t="str">
        <f aca="false">IFERROR(INDEX(Catalogo!$E$2:$E$29,MATCH($E176,Catalogo!$B$2:$B$29,0)),"")</f>
        <v/>
      </c>
      <c r="I176" s="31" t="str">
        <f aca="false">IFERROR(INDEX(Parametros!$C$13:$C$16,MATCH($F176,Parametros!$B$13:$B$16,0)),"")</f>
        <v/>
      </c>
      <c r="J176" s="36" t="str">
        <f aca="false">IFERROR(INDEX(Parametros!$E$13:$E$16,MATCH($F176,Parametros!$B$13:$B$16,0)),"")</f>
        <v/>
      </c>
      <c r="K176" s="33"/>
      <c r="L176" s="34" t="str">
        <f aca="false">IF(OR($K176="",$J176="",$J176=0),"",$K176+$J176)</f>
        <v/>
      </c>
      <c r="M176" s="29"/>
      <c r="N176" s="33"/>
      <c r="O176" s="33"/>
      <c r="P176" s="35" t="str">
        <f aca="false">IFERROR(INDEX(Parametros!$D$13:$D$16,MATCH($F176,Parametros!$B$13:$B$16,0)),"")</f>
        <v/>
      </c>
      <c r="Q176" s="30" t="str">
        <f aca="false">IF($F176="","",IF($F176="D","NAO","SIM"))</f>
        <v/>
      </c>
      <c r="R176" s="35" t="n">
        <f aca="false">IF(AND($M176="VERIFICADO",$Q176="SIM"),$P176,0)</f>
        <v>0</v>
      </c>
    </row>
    <row r="177" customFormat="false" ht="15" hidden="false" customHeight="false" outlineLevel="0" collapsed="false">
      <c r="A177" s="29"/>
      <c r="B177" s="29"/>
      <c r="C177" s="29"/>
      <c r="D177" s="29"/>
      <c r="E177" s="29"/>
      <c r="F177" s="30" t="str">
        <f aca="false">IFERROR(INDEX(Catalogo!$C$2:$C$29,MATCH($E177,Catalogo!$B$2:$B$29,0)),"")</f>
        <v/>
      </c>
      <c r="G177" s="11" t="str">
        <f aca="false">IFERROR(INDEX(Catalogo!$D$2:$D$29,MATCH($E177,Catalogo!$B$2:$B$29,0)),"")</f>
        <v/>
      </c>
      <c r="H177" s="11" t="str">
        <f aca="false">IFERROR(INDEX(Catalogo!$E$2:$E$29,MATCH($E177,Catalogo!$B$2:$B$29,0)),"")</f>
        <v/>
      </c>
      <c r="I177" s="31" t="str">
        <f aca="false">IFERROR(INDEX(Parametros!$C$13:$C$16,MATCH($F177,Parametros!$B$13:$B$16,0)),"")</f>
        <v/>
      </c>
      <c r="J177" s="36" t="str">
        <f aca="false">IFERROR(INDEX(Parametros!$E$13:$E$16,MATCH($F177,Parametros!$B$13:$B$16,0)),"")</f>
        <v/>
      </c>
      <c r="K177" s="33"/>
      <c r="L177" s="34" t="str">
        <f aca="false">IF(OR($K177="",$J177="",$J177=0),"",$K177+$J177)</f>
        <v/>
      </c>
      <c r="M177" s="29"/>
      <c r="N177" s="33"/>
      <c r="O177" s="33"/>
      <c r="P177" s="35" t="str">
        <f aca="false">IFERROR(INDEX(Parametros!$D$13:$D$16,MATCH($F177,Parametros!$B$13:$B$16,0)),"")</f>
        <v/>
      </c>
      <c r="Q177" s="30" t="str">
        <f aca="false">IF($F177="","",IF($F177="D","NAO","SIM"))</f>
        <v/>
      </c>
      <c r="R177" s="35" t="n">
        <f aca="false">IF(AND($M177="VERIFICADO",$Q177="SIM"),$P177,0)</f>
        <v>0</v>
      </c>
    </row>
    <row r="178" customFormat="false" ht="15" hidden="false" customHeight="false" outlineLevel="0" collapsed="false">
      <c r="A178" s="29"/>
      <c r="B178" s="29"/>
      <c r="C178" s="29"/>
      <c r="D178" s="29"/>
      <c r="E178" s="29"/>
      <c r="F178" s="30" t="str">
        <f aca="false">IFERROR(INDEX(Catalogo!$C$2:$C$29,MATCH($E178,Catalogo!$B$2:$B$29,0)),"")</f>
        <v/>
      </c>
      <c r="G178" s="11" t="str">
        <f aca="false">IFERROR(INDEX(Catalogo!$D$2:$D$29,MATCH($E178,Catalogo!$B$2:$B$29,0)),"")</f>
        <v/>
      </c>
      <c r="H178" s="11" t="str">
        <f aca="false">IFERROR(INDEX(Catalogo!$E$2:$E$29,MATCH($E178,Catalogo!$B$2:$B$29,0)),"")</f>
        <v/>
      </c>
      <c r="I178" s="31" t="str">
        <f aca="false">IFERROR(INDEX(Parametros!$C$13:$C$16,MATCH($F178,Parametros!$B$13:$B$16,0)),"")</f>
        <v/>
      </c>
      <c r="J178" s="36" t="str">
        <f aca="false">IFERROR(INDEX(Parametros!$E$13:$E$16,MATCH($F178,Parametros!$B$13:$B$16,0)),"")</f>
        <v/>
      </c>
      <c r="K178" s="33"/>
      <c r="L178" s="34" t="str">
        <f aca="false">IF(OR($K178="",$J178="",$J178=0),"",$K178+$J178)</f>
        <v/>
      </c>
      <c r="M178" s="29"/>
      <c r="N178" s="33"/>
      <c r="O178" s="33"/>
      <c r="P178" s="35" t="str">
        <f aca="false">IFERROR(INDEX(Parametros!$D$13:$D$16,MATCH($F178,Parametros!$B$13:$B$16,0)),"")</f>
        <v/>
      </c>
      <c r="Q178" s="30" t="str">
        <f aca="false">IF($F178="","",IF($F178="D","NAO","SIM"))</f>
        <v/>
      </c>
      <c r="R178" s="35" t="n">
        <f aca="false">IF(AND($M178="VERIFICADO",$Q178="SIM"),$P178,0)</f>
        <v>0</v>
      </c>
    </row>
    <row r="179" customFormat="false" ht="15" hidden="false" customHeight="false" outlineLevel="0" collapsed="false">
      <c r="A179" s="29"/>
      <c r="B179" s="29"/>
      <c r="C179" s="29"/>
      <c r="D179" s="29"/>
      <c r="E179" s="29"/>
      <c r="F179" s="30" t="str">
        <f aca="false">IFERROR(INDEX(Catalogo!$C$2:$C$29,MATCH($E179,Catalogo!$B$2:$B$29,0)),"")</f>
        <v/>
      </c>
      <c r="G179" s="11" t="str">
        <f aca="false">IFERROR(INDEX(Catalogo!$D$2:$D$29,MATCH($E179,Catalogo!$B$2:$B$29,0)),"")</f>
        <v/>
      </c>
      <c r="H179" s="11" t="str">
        <f aca="false">IFERROR(INDEX(Catalogo!$E$2:$E$29,MATCH($E179,Catalogo!$B$2:$B$29,0)),"")</f>
        <v/>
      </c>
      <c r="I179" s="31" t="str">
        <f aca="false">IFERROR(INDEX(Parametros!$C$13:$C$16,MATCH($F179,Parametros!$B$13:$B$16,0)),"")</f>
        <v/>
      </c>
      <c r="J179" s="36" t="str">
        <f aca="false">IFERROR(INDEX(Parametros!$E$13:$E$16,MATCH($F179,Parametros!$B$13:$B$16,0)),"")</f>
        <v/>
      </c>
      <c r="K179" s="33"/>
      <c r="L179" s="34" t="str">
        <f aca="false">IF(OR($K179="",$J179="",$J179=0),"",$K179+$J179)</f>
        <v/>
      </c>
      <c r="M179" s="29"/>
      <c r="N179" s="33"/>
      <c r="O179" s="33"/>
      <c r="P179" s="35" t="str">
        <f aca="false">IFERROR(INDEX(Parametros!$D$13:$D$16,MATCH($F179,Parametros!$B$13:$B$16,0)),"")</f>
        <v/>
      </c>
      <c r="Q179" s="30" t="str">
        <f aca="false">IF($F179="","",IF($F179="D","NAO","SIM"))</f>
        <v/>
      </c>
      <c r="R179" s="35" t="n">
        <f aca="false">IF(AND($M179="VERIFICADO",$Q179="SIM"),$P179,0)</f>
        <v>0</v>
      </c>
    </row>
    <row r="180" customFormat="false" ht="15" hidden="false" customHeight="false" outlineLevel="0" collapsed="false">
      <c r="A180" s="29"/>
      <c r="B180" s="29"/>
      <c r="C180" s="29"/>
      <c r="D180" s="29"/>
      <c r="E180" s="29"/>
      <c r="F180" s="30" t="str">
        <f aca="false">IFERROR(INDEX(Catalogo!$C$2:$C$29,MATCH($E180,Catalogo!$B$2:$B$29,0)),"")</f>
        <v/>
      </c>
      <c r="G180" s="11" t="str">
        <f aca="false">IFERROR(INDEX(Catalogo!$D$2:$D$29,MATCH($E180,Catalogo!$B$2:$B$29,0)),"")</f>
        <v/>
      </c>
      <c r="H180" s="11" t="str">
        <f aca="false">IFERROR(INDEX(Catalogo!$E$2:$E$29,MATCH($E180,Catalogo!$B$2:$B$29,0)),"")</f>
        <v/>
      </c>
      <c r="I180" s="31" t="str">
        <f aca="false">IFERROR(INDEX(Parametros!$C$13:$C$16,MATCH($F180,Parametros!$B$13:$B$16,0)),"")</f>
        <v/>
      </c>
      <c r="J180" s="36" t="str">
        <f aca="false">IFERROR(INDEX(Parametros!$E$13:$E$16,MATCH($F180,Parametros!$B$13:$B$16,0)),"")</f>
        <v/>
      </c>
      <c r="K180" s="33"/>
      <c r="L180" s="34" t="str">
        <f aca="false">IF(OR($K180="",$J180="",$J180=0),"",$K180+$J180)</f>
        <v/>
      </c>
      <c r="M180" s="29"/>
      <c r="N180" s="33"/>
      <c r="O180" s="33"/>
      <c r="P180" s="35" t="str">
        <f aca="false">IFERROR(INDEX(Parametros!$D$13:$D$16,MATCH($F180,Parametros!$B$13:$B$16,0)),"")</f>
        <v/>
      </c>
      <c r="Q180" s="30" t="str">
        <f aca="false">IF($F180="","",IF($F180="D","NAO","SIM"))</f>
        <v/>
      </c>
      <c r="R180" s="35" t="n">
        <f aca="false">IF(AND($M180="VERIFICADO",$Q180="SIM"),$P180,0)</f>
        <v>0</v>
      </c>
    </row>
    <row r="181" customFormat="false" ht="15" hidden="false" customHeight="false" outlineLevel="0" collapsed="false">
      <c r="A181" s="29"/>
      <c r="B181" s="29"/>
      <c r="C181" s="29"/>
      <c r="D181" s="29"/>
      <c r="E181" s="29"/>
      <c r="F181" s="30" t="str">
        <f aca="false">IFERROR(INDEX(Catalogo!$C$2:$C$29,MATCH($E181,Catalogo!$B$2:$B$29,0)),"")</f>
        <v/>
      </c>
      <c r="G181" s="11" t="str">
        <f aca="false">IFERROR(INDEX(Catalogo!$D$2:$D$29,MATCH($E181,Catalogo!$B$2:$B$29,0)),"")</f>
        <v/>
      </c>
      <c r="H181" s="11" t="str">
        <f aca="false">IFERROR(INDEX(Catalogo!$E$2:$E$29,MATCH($E181,Catalogo!$B$2:$B$29,0)),"")</f>
        <v/>
      </c>
      <c r="I181" s="31" t="str">
        <f aca="false">IFERROR(INDEX(Parametros!$C$13:$C$16,MATCH($F181,Parametros!$B$13:$B$16,0)),"")</f>
        <v/>
      </c>
      <c r="J181" s="36" t="str">
        <f aca="false">IFERROR(INDEX(Parametros!$E$13:$E$16,MATCH($F181,Parametros!$B$13:$B$16,0)),"")</f>
        <v/>
      </c>
      <c r="K181" s="33"/>
      <c r="L181" s="34" t="str">
        <f aca="false">IF(OR($K181="",$J181="",$J181=0),"",$K181+$J181)</f>
        <v/>
      </c>
      <c r="M181" s="29"/>
      <c r="N181" s="33"/>
      <c r="O181" s="33"/>
      <c r="P181" s="35" t="str">
        <f aca="false">IFERROR(INDEX(Parametros!$D$13:$D$16,MATCH($F181,Parametros!$B$13:$B$16,0)),"")</f>
        <v/>
      </c>
      <c r="Q181" s="30" t="str">
        <f aca="false">IF($F181="","",IF($F181="D","NAO","SIM"))</f>
        <v/>
      </c>
      <c r="R181" s="35" t="n">
        <f aca="false">IF(AND($M181="VERIFICADO",$Q181="SIM"),$P181,0)</f>
        <v>0</v>
      </c>
    </row>
    <row r="182" customFormat="false" ht="15" hidden="false" customHeight="false" outlineLevel="0" collapsed="false">
      <c r="A182" s="29"/>
      <c r="B182" s="29"/>
      <c r="C182" s="29"/>
      <c r="D182" s="29"/>
      <c r="E182" s="29"/>
      <c r="F182" s="30" t="str">
        <f aca="false">IFERROR(INDEX(Catalogo!$C$2:$C$29,MATCH($E182,Catalogo!$B$2:$B$29,0)),"")</f>
        <v/>
      </c>
      <c r="G182" s="11" t="str">
        <f aca="false">IFERROR(INDEX(Catalogo!$D$2:$D$29,MATCH($E182,Catalogo!$B$2:$B$29,0)),"")</f>
        <v/>
      </c>
      <c r="H182" s="11" t="str">
        <f aca="false">IFERROR(INDEX(Catalogo!$E$2:$E$29,MATCH($E182,Catalogo!$B$2:$B$29,0)),"")</f>
        <v/>
      </c>
      <c r="I182" s="31" t="str">
        <f aca="false">IFERROR(INDEX(Parametros!$C$13:$C$16,MATCH($F182,Parametros!$B$13:$B$16,0)),"")</f>
        <v/>
      </c>
      <c r="J182" s="36" t="str">
        <f aca="false">IFERROR(INDEX(Parametros!$E$13:$E$16,MATCH($F182,Parametros!$B$13:$B$16,0)),"")</f>
        <v/>
      </c>
      <c r="K182" s="33"/>
      <c r="L182" s="34" t="str">
        <f aca="false">IF(OR($K182="",$J182="",$J182=0),"",$K182+$J182)</f>
        <v/>
      </c>
      <c r="M182" s="29"/>
      <c r="N182" s="33"/>
      <c r="O182" s="33"/>
      <c r="P182" s="35" t="str">
        <f aca="false">IFERROR(INDEX(Parametros!$D$13:$D$16,MATCH($F182,Parametros!$B$13:$B$16,0)),"")</f>
        <v/>
      </c>
      <c r="Q182" s="30" t="str">
        <f aca="false">IF($F182="","",IF($F182="D","NAO","SIM"))</f>
        <v/>
      </c>
      <c r="R182" s="35" t="n">
        <f aca="false">IF(AND($M182="VERIFICADO",$Q182="SIM"),$P182,0)</f>
        <v>0</v>
      </c>
    </row>
    <row r="183" customFormat="false" ht="15" hidden="false" customHeight="false" outlineLevel="0" collapsed="false">
      <c r="A183" s="29"/>
      <c r="B183" s="29"/>
      <c r="C183" s="29"/>
      <c r="D183" s="29"/>
      <c r="E183" s="29"/>
      <c r="F183" s="30" t="str">
        <f aca="false">IFERROR(INDEX(Catalogo!$C$2:$C$29,MATCH($E183,Catalogo!$B$2:$B$29,0)),"")</f>
        <v/>
      </c>
      <c r="G183" s="11" t="str">
        <f aca="false">IFERROR(INDEX(Catalogo!$D$2:$D$29,MATCH($E183,Catalogo!$B$2:$B$29,0)),"")</f>
        <v/>
      </c>
      <c r="H183" s="11" t="str">
        <f aca="false">IFERROR(INDEX(Catalogo!$E$2:$E$29,MATCH($E183,Catalogo!$B$2:$B$29,0)),"")</f>
        <v/>
      </c>
      <c r="I183" s="31" t="str">
        <f aca="false">IFERROR(INDEX(Parametros!$C$13:$C$16,MATCH($F183,Parametros!$B$13:$B$16,0)),"")</f>
        <v/>
      </c>
      <c r="J183" s="36" t="str">
        <f aca="false">IFERROR(INDEX(Parametros!$E$13:$E$16,MATCH($F183,Parametros!$B$13:$B$16,0)),"")</f>
        <v/>
      </c>
      <c r="K183" s="33"/>
      <c r="L183" s="34" t="str">
        <f aca="false">IF(OR($K183="",$J183="",$J183=0),"",$K183+$J183)</f>
        <v/>
      </c>
      <c r="M183" s="29"/>
      <c r="N183" s="33"/>
      <c r="O183" s="33"/>
      <c r="P183" s="35" t="str">
        <f aca="false">IFERROR(INDEX(Parametros!$D$13:$D$16,MATCH($F183,Parametros!$B$13:$B$16,0)),"")</f>
        <v/>
      </c>
      <c r="Q183" s="30" t="str">
        <f aca="false">IF($F183="","",IF($F183="D","NAO","SIM"))</f>
        <v/>
      </c>
      <c r="R183" s="35" t="n">
        <f aca="false">IF(AND($M183="VERIFICADO",$Q183="SIM"),$P183,0)</f>
        <v>0</v>
      </c>
    </row>
    <row r="184" customFormat="false" ht="15" hidden="false" customHeight="false" outlineLevel="0" collapsed="false">
      <c r="A184" s="29"/>
      <c r="B184" s="29"/>
      <c r="C184" s="29"/>
      <c r="D184" s="29"/>
      <c r="E184" s="29"/>
      <c r="F184" s="30" t="str">
        <f aca="false">IFERROR(INDEX(Catalogo!$C$2:$C$29,MATCH($E184,Catalogo!$B$2:$B$29,0)),"")</f>
        <v/>
      </c>
      <c r="G184" s="11" t="str">
        <f aca="false">IFERROR(INDEX(Catalogo!$D$2:$D$29,MATCH($E184,Catalogo!$B$2:$B$29,0)),"")</f>
        <v/>
      </c>
      <c r="H184" s="11" t="str">
        <f aca="false">IFERROR(INDEX(Catalogo!$E$2:$E$29,MATCH($E184,Catalogo!$B$2:$B$29,0)),"")</f>
        <v/>
      </c>
      <c r="I184" s="31" t="str">
        <f aca="false">IFERROR(INDEX(Parametros!$C$13:$C$16,MATCH($F184,Parametros!$B$13:$B$16,0)),"")</f>
        <v/>
      </c>
      <c r="J184" s="36" t="str">
        <f aca="false">IFERROR(INDEX(Parametros!$E$13:$E$16,MATCH($F184,Parametros!$B$13:$B$16,0)),"")</f>
        <v/>
      </c>
      <c r="K184" s="33"/>
      <c r="L184" s="34" t="str">
        <f aca="false">IF(OR($K184="",$J184="",$J184=0),"",$K184+$J184)</f>
        <v/>
      </c>
      <c r="M184" s="29"/>
      <c r="N184" s="33"/>
      <c r="O184" s="33"/>
      <c r="P184" s="35" t="str">
        <f aca="false">IFERROR(INDEX(Parametros!$D$13:$D$16,MATCH($F184,Parametros!$B$13:$B$16,0)),"")</f>
        <v/>
      </c>
      <c r="Q184" s="30" t="str">
        <f aca="false">IF($F184="","",IF($F184="D","NAO","SIM"))</f>
        <v/>
      </c>
      <c r="R184" s="35" t="n">
        <f aca="false">IF(AND($M184="VERIFICADO",$Q184="SIM"),$P184,0)</f>
        <v>0</v>
      </c>
    </row>
    <row r="185" customFormat="false" ht="15" hidden="false" customHeight="false" outlineLevel="0" collapsed="false">
      <c r="A185" s="29"/>
      <c r="B185" s="29"/>
      <c r="C185" s="29"/>
      <c r="D185" s="29"/>
      <c r="E185" s="29"/>
      <c r="F185" s="30" t="str">
        <f aca="false">IFERROR(INDEX(Catalogo!$C$2:$C$29,MATCH($E185,Catalogo!$B$2:$B$29,0)),"")</f>
        <v/>
      </c>
      <c r="G185" s="11" t="str">
        <f aca="false">IFERROR(INDEX(Catalogo!$D$2:$D$29,MATCH($E185,Catalogo!$B$2:$B$29,0)),"")</f>
        <v/>
      </c>
      <c r="H185" s="11" t="str">
        <f aca="false">IFERROR(INDEX(Catalogo!$E$2:$E$29,MATCH($E185,Catalogo!$B$2:$B$29,0)),"")</f>
        <v/>
      </c>
      <c r="I185" s="31" t="str">
        <f aca="false">IFERROR(INDEX(Parametros!$C$13:$C$16,MATCH($F185,Parametros!$B$13:$B$16,0)),"")</f>
        <v/>
      </c>
      <c r="J185" s="36" t="str">
        <f aca="false">IFERROR(INDEX(Parametros!$E$13:$E$16,MATCH($F185,Parametros!$B$13:$B$16,0)),"")</f>
        <v/>
      </c>
      <c r="K185" s="33"/>
      <c r="L185" s="34" t="str">
        <f aca="false">IF(OR($K185="",$J185="",$J185=0),"",$K185+$J185)</f>
        <v/>
      </c>
      <c r="M185" s="29"/>
      <c r="N185" s="33"/>
      <c r="O185" s="33"/>
      <c r="P185" s="35" t="str">
        <f aca="false">IFERROR(INDEX(Parametros!$D$13:$D$16,MATCH($F185,Parametros!$B$13:$B$16,0)),"")</f>
        <v/>
      </c>
      <c r="Q185" s="30" t="str">
        <f aca="false">IF($F185="","",IF($F185="D","NAO","SIM"))</f>
        <v/>
      </c>
      <c r="R185" s="35" t="n">
        <f aca="false">IF(AND($M185="VERIFICADO",$Q185="SIM"),$P185,0)</f>
        <v>0</v>
      </c>
    </row>
    <row r="186" customFormat="false" ht="15" hidden="false" customHeight="false" outlineLevel="0" collapsed="false">
      <c r="A186" s="29"/>
      <c r="B186" s="29"/>
      <c r="C186" s="29"/>
      <c r="D186" s="29"/>
      <c r="E186" s="29"/>
      <c r="F186" s="30" t="str">
        <f aca="false">IFERROR(INDEX(Catalogo!$C$2:$C$29,MATCH($E186,Catalogo!$B$2:$B$29,0)),"")</f>
        <v/>
      </c>
      <c r="G186" s="11" t="str">
        <f aca="false">IFERROR(INDEX(Catalogo!$D$2:$D$29,MATCH($E186,Catalogo!$B$2:$B$29,0)),"")</f>
        <v/>
      </c>
      <c r="H186" s="11" t="str">
        <f aca="false">IFERROR(INDEX(Catalogo!$E$2:$E$29,MATCH($E186,Catalogo!$B$2:$B$29,0)),"")</f>
        <v/>
      </c>
      <c r="I186" s="31" t="str">
        <f aca="false">IFERROR(INDEX(Parametros!$C$13:$C$16,MATCH($F186,Parametros!$B$13:$B$16,0)),"")</f>
        <v/>
      </c>
      <c r="J186" s="36" t="str">
        <f aca="false">IFERROR(INDEX(Parametros!$E$13:$E$16,MATCH($F186,Parametros!$B$13:$B$16,0)),"")</f>
        <v/>
      </c>
      <c r="K186" s="33"/>
      <c r="L186" s="34" t="str">
        <f aca="false">IF(OR($K186="",$J186="",$J186=0),"",$K186+$J186)</f>
        <v/>
      </c>
      <c r="M186" s="29"/>
      <c r="N186" s="33"/>
      <c r="O186" s="33"/>
      <c r="P186" s="35" t="str">
        <f aca="false">IFERROR(INDEX(Parametros!$D$13:$D$16,MATCH($F186,Parametros!$B$13:$B$16,0)),"")</f>
        <v/>
      </c>
      <c r="Q186" s="30" t="str">
        <f aca="false">IF($F186="","",IF($F186="D","NAO","SIM"))</f>
        <v/>
      </c>
      <c r="R186" s="35" t="n">
        <f aca="false">IF(AND($M186="VERIFICADO",$Q186="SIM"),$P186,0)</f>
        <v>0</v>
      </c>
    </row>
    <row r="187" customFormat="false" ht="15" hidden="false" customHeight="false" outlineLevel="0" collapsed="false">
      <c r="A187" s="29"/>
      <c r="B187" s="29"/>
      <c r="C187" s="29"/>
      <c r="D187" s="29"/>
      <c r="E187" s="29"/>
      <c r="F187" s="30" t="str">
        <f aca="false">IFERROR(INDEX(Catalogo!$C$2:$C$29,MATCH($E187,Catalogo!$B$2:$B$29,0)),"")</f>
        <v/>
      </c>
      <c r="G187" s="11" t="str">
        <f aca="false">IFERROR(INDEX(Catalogo!$D$2:$D$29,MATCH($E187,Catalogo!$B$2:$B$29,0)),"")</f>
        <v/>
      </c>
      <c r="H187" s="11" t="str">
        <f aca="false">IFERROR(INDEX(Catalogo!$E$2:$E$29,MATCH($E187,Catalogo!$B$2:$B$29,0)),"")</f>
        <v/>
      </c>
      <c r="I187" s="31" t="str">
        <f aca="false">IFERROR(INDEX(Parametros!$C$13:$C$16,MATCH($F187,Parametros!$B$13:$B$16,0)),"")</f>
        <v/>
      </c>
      <c r="J187" s="36" t="str">
        <f aca="false">IFERROR(INDEX(Parametros!$E$13:$E$16,MATCH($F187,Parametros!$B$13:$B$16,0)),"")</f>
        <v/>
      </c>
      <c r="K187" s="33"/>
      <c r="L187" s="34" t="str">
        <f aca="false">IF(OR($K187="",$J187="",$J187=0),"",$K187+$J187)</f>
        <v/>
      </c>
      <c r="M187" s="29"/>
      <c r="N187" s="33"/>
      <c r="O187" s="33"/>
      <c r="P187" s="35" t="str">
        <f aca="false">IFERROR(INDEX(Parametros!$D$13:$D$16,MATCH($F187,Parametros!$B$13:$B$16,0)),"")</f>
        <v/>
      </c>
      <c r="Q187" s="30" t="str">
        <f aca="false">IF($F187="","",IF($F187="D","NAO","SIM"))</f>
        <v/>
      </c>
      <c r="R187" s="35" t="n">
        <f aca="false">IF(AND($M187="VERIFICADO",$Q187="SIM"),$P187,0)</f>
        <v>0</v>
      </c>
    </row>
    <row r="188" customFormat="false" ht="15" hidden="false" customHeight="false" outlineLevel="0" collapsed="false">
      <c r="A188" s="29"/>
      <c r="B188" s="29"/>
      <c r="C188" s="29"/>
      <c r="D188" s="29"/>
      <c r="E188" s="29"/>
      <c r="F188" s="30" t="str">
        <f aca="false">IFERROR(INDEX(Catalogo!$C$2:$C$29,MATCH($E188,Catalogo!$B$2:$B$29,0)),"")</f>
        <v/>
      </c>
      <c r="G188" s="11" t="str">
        <f aca="false">IFERROR(INDEX(Catalogo!$D$2:$D$29,MATCH($E188,Catalogo!$B$2:$B$29,0)),"")</f>
        <v/>
      </c>
      <c r="H188" s="11" t="str">
        <f aca="false">IFERROR(INDEX(Catalogo!$E$2:$E$29,MATCH($E188,Catalogo!$B$2:$B$29,0)),"")</f>
        <v/>
      </c>
      <c r="I188" s="31" t="str">
        <f aca="false">IFERROR(INDEX(Parametros!$C$13:$C$16,MATCH($F188,Parametros!$B$13:$B$16,0)),"")</f>
        <v/>
      </c>
      <c r="J188" s="36" t="str">
        <f aca="false">IFERROR(INDEX(Parametros!$E$13:$E$16,MATCH($F188,Parametros!$B$13:$B$16,0)),"")</f>
        <v/>
      </c>
      <c r="K188" s="33"/>
      <c r="L188" s="34" t="str">
        <f aca="false">IF(OR($K188="",$J188="",$J188=0),"",$K188+$J188)</f>
        <v/>
      </c>
      <c r="M188" s="29"/>
      <c r="N188" s="33"/>
      <c r="O188" s="33"/>
      <c r="P188" s="35" t="str">
        <f aca="false">IFERROR(INDEX(Parametros!$D$13:$D$16,MATCH($F188,Parametros!$B$13:$B$16,0)),"")</f>
        <v/>
      </c>
      <c r="Q188" s="30" t="str">
        <f aca="false">IF($F188="","",IF($F188="D","NAO","SIM"))</f>
        <v/>
      </c>
      <c r="R188" s="35" t="n">
        <f aca="false">IF(AND($M188="VERIFICADO",$Q188="SIM"),$P188,0)</f>
        <v>0</v>
      </c>
    </row>
    <row r="189" customFormat="false" ht="15" hidden="false" customHeight="false" outlineLevel="0" collapsed="false">
      <c r="A189" s="29"/>
      <c r="B189" s="29"/>
      <c r="C189" s="29"/>
      <c r="D189" s="29"/>
      <c r="E189" s="29"/>
      <c r="F189" s="30" t="str">
        <f aca="false">IFERROR(INDEX(Catalogo!$C$2:$C$29,MATCH($E189,Catalogo!$B$2:$B$29,0)),"")</f>
        <v/>
      </c>
      <c r="G189" s="11" t="str">
        <f aca="false">IFERROR(INDEX(Catalogo!$D$2:$D$29,MATCH($E189,Catalogo!$B$2:$B$29,0)),"")</f>
        <v/>
      </c>
      <c r="H189" s="11" t="str">
        <f aca="false">IFERROR(INDEX(Catalogo!$E$2:$E$29,MATCH($E189,Catalogo!$B$2:$B$29,0)),"")</f>
        <v/>
      </c>
      <c r="I189" s="31" t="str">
        <f aca="false">IFERROR(INDEX(Parametros!$C$13:$C$16,MATCH($F189,Parametros!$B$13:$B$16,0)),"")</f>
        <v/>
      </c>
      <c r="J189" s="36" t="str">
        <f aca="false">IFERROR(INDEX(Parametros!$E$13:$E$16,MATCH($F189,Parametros!$B$13:$B$16,0)),"")</f>
        <v/>
      </c>
      <c r="K189" s="33"/>
      <c r="L189" s="34" t="str">
        <f aca="false">IF(OR($K189="",$J189="",$J189=0),"",$K189+$J189)</f>
        <v/>
      </c>
      <c r="M189" s="29"/>
      <c r="N189" s="33"/>
      <c r="O189" s="33"/>
      <c r="P189" s="35" t="str">
        <f aca="false">IFERROR(INDEX(Parametros!$D$13:$D$16,MATCH($F189,Parametros!$B$13:$B$16,0)),"")</f>
        <v/>
      </c>
      <c r="Q189" s="30" t="str">
        <f aca="false">IF($F189="","",IF($F189="D","NAO","SIM"))</f>
        <v/>
      </c>
      <c r="R189" s="35" t="n">
        <f aca="false">IF(AND($M189="VERIFICADO",$Q189="SIM"),$P189,0)</f>
        <v>0</v>
      </c>
    </row>
    <row r="190" customFormat="false" ht="15" hidden="false" customHeight="false" outlineLevel="0" collapsed="false">
      <c r="A190" s="29"/>
      <c r="B190" s="29"/>
      <c r="C190" s="29"/>
      <c r="D190" s="29"/>
      <c r="E190" s="29"/>
      <c r="F190" s="30" t="str">
        <f aca="false">IFERROR(INDEX(Catalogo!$C$2:$C$29,MATCH($E190,Catalogo!$B$2:$B$29,0)),"")</f>
        <v/>
      </c>
      <c r="G190" s="11" t="str">
        <f aca="false">IFERROR(INDEX(Catalogo!$D$2:$D$29,MATCH($E190,Catalogo!$B$2:$B$29,0)),"")</f>
        <v/>
      </c>
      <c r="H190" s="11" t="str">
        <f aca="false">IFERROR(INDEX(Catalogo!$E$2:$E$29,MATCH($E190,Catalogo!$B$2:$B$29,0)),"")</f>
        <v/>
      </c>
      <c r="I190" s="31" t="str">
        <f aca="false">IFERROR(INDEX(Parametros!$C$13:$C$16,MATCH($F190,Parametros!$B$13:$B$16,0)),"")</f>
        <v/>
      </c>
      <c r="J190" s="36" t="str">
        <f aca="false">IFERROR(INDEX(Parametros!$E$13:$E$16,MATCH($F190,Parametros!$B$13:$B$16,0)),"")</f>
        <v/>
      </c>
      <c r="K190" s="33"/>
      <c r="L190" s="34" t="str">
        <f aca="false">IF(OR($K190="",$J190="",$J190=0),"",$K190+$J190)</f>
        <v/>
      </c>
      <c r="M190" s="29"/>
      <c r="N190" s="33"/>
      <c r="O190" s="33"/>
      <c r="P190" s="35" t="str">
        <f aca="false">IFERROR(INDEX(Parametros!$D$13:$D$16,MATCH($F190,Parametros!$B$13:$B$16,0)),"")</f>
        <v/>
      </c>
      <c r="Q190" s="30" t="str">
        <f aca="false">IF($F190="","",IF($F190="D","NAO","SIM"))</f>
        <v/>
      </c>
      <c r="R190" s="35" t="n">
        <f aca="false">IF(AND($M190="VERIFICADO",$Q190="SIM"),$P190,0)</f>
        <v>0</v>
      </c>
    </row>
    <row r="191" customFormat="false" ht="15" hidden="false" customHeight="false" outlineLevel="0" collapsed="false">
      <c r="A191" s="29"/>
      <c r="B191" s="29"/>
      <c r="C191" s="29"/>
      <c r="D191" s="29"/>
      <c r="E191" s="29"/>
      <c r="F191" s="30" t="str">
        <f aca="false">IFERROR(INDEX(Catalogo!$C$2:$C$29,MATCH($E191,Catalogo!$B$2:$B$29,0)),"")</f>
        <v/>
      </c>
      <c r="G191" s="11" t="str">
        <f aca="false">IFERROR(INDEX(Catalogo!$D$2:$D$29,MATCH($E191,Catalogo!$B$2:$B$29,0)),"")</f>
        <v/>
      </c>
      <c r="H191" s="11" t="str">
        <f aca="false">IFERROR(INDEX(Catalogo!$E$2:$E$29,MATCH($E191,Catalogo!$B$2:$B$29,0)),"")</f>
        <v/>
      </c>
      <c r="I191" s="31" t="str">
        <f aca="false">IFERROR(INDEX(Parametros!$C$13:$C$16,MATCH($F191,Parametros!$B$13:$B$16,0)),"")</f>
        <v/>
      </c>
      <c r="J191" s="36" t="str">
        <f aca="false">IFERROR(INDEX(Parametros!$E$13:$E$16,MATCH($F191,Parametros!$B$13:$B$16,0)),"")</f>
        <v/>
      </c>
      <c r="K191" s="33"/>
      <c r="L191" s="34" t="str">
        <f aca="false">IF(OR($K191="",$J191="",$J191=0),"",$K191+$J191)</f>
        <v/>
      </c>
      <c r="M191" s="29"/>
      <c r="N191" s="33"/>
      <c r="O191" s="33"/>
      <c r="P191" s="35" t="str">
        <f aca="false">IFERROR(INDEX(Parametros!$D$13:$D$16,MATCH($F191,Parametros!$B$13:$B$16,0)),"")</f>
        <v/>
      </c>
      <c r="Q191" s="30" t="str">
        <f aca="false">IF($F191="","",IF($F191="D","NAO","SIM"))</f>
        <v/>
      </c>
      <c r="R191" s="35" t="n">
        <f aca="false">IF(AND($M191="VERIFICADO",$Q191="SIM"),$P191,0)</f>
        <v>0</v>
      </c>
    </row>
    <row r="192" customFormat="false" ht="15" hidden="false" customHeight="false" outlineLevel="0" collapsed="false">
      <c r="A192" s="29"/>
      <c r="B192" s="29"/>
      <c r="C192" s="29"/>
      <c r="D192" s="29"/>
      <c r="E192" s="29"/>
      <c r="F192" s="30" t="str">
        <f aca="false">IFERROR(INDEX(Catalogo!$C$2:$C$29,MATCH($E192,Catalogo!$B$2:$B$29,0)),"")</f>
        <v/>
      </c>
      <c r="G192" s="11" t="str">
        <f aca="false">IFERROR(INDEX(Catalogo!$D$2:$D$29,MATCH($E192,Catalogo!$B$2:$B$29,0)),"")</f>
        <v/>
      </c>
      <c r="H192" s="11" t="str">
        <f aca="false">IFERROR(INDEX(Catalogo!$E$2:$E$29,MATCH($E192,Catalogo!$B$2:$B$29,0)),"")</f>
        <v/>
      </c>
      <c r="I192" s="31" t="str">
        <f aca="false">IFERROR(INDEX(Parametros!$C$13:$C$16,MATCH($F192,Parametros!$B$13:$B$16,0)),"")</f>
        <v/>
      </c>
      <c r="J192" s="36" t="str">
        <f aca="false">IFERROR(INDEX(Parametros!$E$13:$E$16,MATCH($F192,Parametros!$B$13:$B$16,0)),"")</f>
        <v/>
      </c>
      <c r="K192" s="33"/>
      <c r="L192" s="34" t="str">
        <f aca="false">IF(OR($K192="",$J192="",$J192=0),"",$K192+$J192)</f>
        <v/>
      </c>
      <c r="M192" s="29"/>
      <c r="N192" s="33"/>
      <c r="O192" s="33"/>
      <c r="P192" s="35" t="str">
        <f aca="false">IFERROR(INDEX(Parametros!$D$13:$D$16,MATCH($F192,Parametros!$B$13:$B$16,0)),"")</f>
        <v/>
      </c>
      <c r="Q192" s="30" t="str">
        <f aca="false">IF($F192="","",IF($F192="D","NAO","SIM"))</f>
        <v/>
      </c>
      <c r="R192" s="35" t="n">
        <f aca="false">IF(AND($M192="VERIFICADO",$Q192="SIM"),$P192,0)</f>
        <v>0</v>
      </c>
    </row>
    <row r="193" customFormat="false" ht="15" hidden="false" customHeight="false" outlineLevel="0" collapsed="false">
      <c r="A193" s="29"/>
      <c r="B193" s="29"/>
      <c r="C193" s="29"/>
      <c r="D193" s="29"/>
      <c r="E193" s="29"/>
      <c r="F193" s="30" t="str">
        <f aca="false">IFERROR(INDEX(Catalogo!$C$2:$C$29,MATCH($E193,Catalogo!$B$2:$B$29,0)),"")</f>
        <v/>
      </c>
      <c r="G193" s="11" t="str">
        <f aca="false">IFERROR(INDEX(Catalogo!$D$2:$D$29,MATCH($E193,Catalogo!$B$2:$B$29,0)),"")</f>
        <v/>
      </c>
      <c r="H193" s="11" t="str">
        <f aca="false">IFERROR(INDEX(Catalogo!$E$2:$E$29,MATCH($E193,Catalogo!$B$2:$B$29,0)),"")</f>
        <v/>
      </c>
      <c r="I193" s="31" t="str">
        <f aca="false">IFERROR(INDEX(Parametros!$C$13:$C$16,MATCH($F193,Parametros!$B$13:$B$16,0)),"")</f>
        <v/>
      </c>
      <c r="J193" s="36" t="str">
        <f aca="false">IFERROR(INDEX(Parametros!$E$13:$E$16,MATCH($F193,Parametros!$B$13:$B$16,0)),"")</f>
        <v/>
      </c>
      <c r="K193" s="33"/>
      <c r="L193" s="34" t="str">
        <f aca="false">IF(OR($K193="",$J193="",$J193=0),"",$K193+$J193)</f>
        <v/>
      </c>
      <c r="M193" s="29"/>
      <c r="N193" s="33"/>
      <c r="O193" s="33"/>
      <c r="P193" s="35" t="str">
        <f aca="false">IFERROR(INDEX(Parametros!$D$13:$D$16,MATCH($F193,Parametros!$B$13:$B$16,0)),"")</f>
        <v/>
      </c>
      <c r="Q193" s="30" t="str">
        <f aca="false">IF($F193="","",IF($F193="D","NAO","SIM"))</f>
        <v/>
      </c>
      <c r="R193" s="35" t="n">
        <f aca="false">IF(AND($M193="VERIFICADO",$Q193="SIM"),$P193,0)</f>
        <v>0</v>
      </c>
    </row>
    <row r="194" customFormat="false" ht="15" hidden="false" customHeight="false" outlineLevel="0" collapsed="false">
      <c r="A194" s="29"/>
      <c r="B194" s="29"/>
      <c r="C194" s="29"/>
      <c r="D194" s="29"/>
      <c r="E194" s="29"/>
      <c r="F194" s="30" t="str">
        <f aca="false">IFERROR(INDEX(Catalogo!$C$2:$C$29,MATCH($E194,Catalogo!$B$2:$B$29,0)),"")</f>
        <v/>
      </c>
      <c r="G194" s="11" t="str">
        <f aca="false">IFERROR(INDEX(Catalogo!$D$2:$D$29,MATCH($E194,Catalogo!$B$2:$B$29,0)),"")</f>
        <v/>
      </c>
      <c r="H194" s="11" t="str">
        <f aca="false">IFERROR(INDEX(Catalogo!$E$2:$E$29,MATCH($E194,Catalogo!$B$2:$B$29,0)),"")</f>
        <v/>
      </c>
      <c r="I194" s="31" t="str">
        <f aca="false">IFERROR(INDEX(Parametros!$C$13:$C$16,MATCH($F194,Parametros!$B$13:$B$16,0)),"")</f>
        <v/>
      </c>
      <c r="J194" s="36" t="str">
        <f aca="false">IFERROR(INDEX(Parametros!$E$13:$E$16,MATCH($F194,Parametros!$B$13:$B$16,0)),"")</f>
        <v/>
      </c>
      <c r="K194" s="33"/>
      <c r="L194" s="34" t="str">
        <f aca="false">IF(OR($K194="",$J194="",$J194=0),"",$K194+$J194)</f>
        <v/>
      </c>
      <c r="M194" s="29"/>
      <c r="N194" s="33"/>
      <c r="O194" s="33"/>
      <c r="P194" s="35" t="str">
        <f aca="false">IFERROR(INDEX(Parametros!$D$13:$D$16,MATCH($F194,Parametros!$B$13:$B$16,0)),"")</f>
        <v/>
      </c>
      <c r="Q194" s="30" t="str">
        <f aca="false">IF($F194="","",IF($F194="D","NAO","SIM"))</f>
        <v/>
      </c>
      <c r="R194" s="35" t="n">
        <f aca="false">IF(AND($M194="VERIFICADO",$Q194="SIM"),$P194,0)</f>
        <v>0</v>
      </c>
    </row>
    <row r="195" customFormat="false" ht="15" hidden="false" customHeight="false" outlineLevel="0" collapsed="false">
      <c r="A195" s="29"/>
      <c r="B195" s="29"/>
      <c r="C195" s="29"/>
      <c r="D195" s="29"/>
      <c r="E195" s="29"/>
      <c r="F195" s="30" t="str">
        <f aca="false">IFERROR(INDEX(Catalogo!$C$2:$C$29,MATCH($E195,Catalogo!$B$2:$B$29,0)),"")</f>
        <v/>
      </c>
      <c r="G195" s="11" t="str">
        <f aca="false">IFERROR(INDEX(Catalogo!$D$2:$D$29,MATCH($E195,Catalogo!$B$2:$B$29,0)),"")</f>
        <v/>
      </c>
      <c r="H195" s="11" t="str">
        <f aca="false">IFERROR(INDEX(Catalogo!$E$2:$E$29,MATCH($E195,Catalogo!$B$2:$B$29,0)),"")</f>
        <v/>
      </c>
      <c r="I195" s="31" t="str">
        <f aca="false">IFERROR(INDEX(Parametros!$C$13:$C$16,MATCH($F195,Parametros!$B$13:$B$16,0)),"")</f>
        <v/>
      </c>
      <c r="J195" s="36" t="str">
        <f aca="false">IFERROR(INDEX(Parametros!$E$13:$E$16,MATCH($F195,Parametros!$B$13:$B$16,0)),"")</f>
        <v/>
      </c>
      <c r="K195" s="33"/>
      <c r="L195" s="34" t="str">
        <f aca="false">IF(OR($K195="",$J195="",$J195=0),"",$K195+$J195)</f>
        <v/>
      </c>
      <c r="M195" s="29"/>
      <c r="N195" s="33"/>
      <c r="O195" s="33"/>
      <c r="P195" s="35" t="str">
        <f aca="false">IFERROR(INDEX(Parametros!$D$13:$D$16,MATCH($F195,Parametros!$B$13:$B$16,0)),"")</f>
        <v/>
      </c>
      <c r="Q195" s="30" t="str">
        <f aca="false">IF($F195="","",IF($F195="D","NAO","SIM"))</f>
        <v/>
      </c>
      <c r="R195" s="35" t="n">
        <f aca="false">IF(AND($M195="VERIFICADO",$Q195="SIM"),$P195,0)</f>
        <v>0</v>
      </c>
    </row>
    <row r="196" customFormat="false" ht="15" hidden="false" customHeight="false" outlineLevel="0" collapsed="false">
      <c r="A196" s="29"/>
      <c r="B196" s="29"/>
      <c r="C196" s="29"/>
      <c r="D196" s="29"/>
      <c r="E196" s="29"/>
      <c r="F196" s="30" t="str">
        <f aca="false">IFERROR(INDEX(Catalogo!$C$2:$C$29,MATCH($E196,Catalogo!$B$2:$B$29,0)),"")</f>
        <v/>
      </c>
      <c r="G196" s="11" t="str">
        <f aca="false">IFERROR(INDEX(Catalogo!$D$2:$D$29,MATCH($E196,Catalogo!$B$2:$B$29,0)),"")</f>
        <v/>
      </c>
      <c r="H196" s="11" t="str">
        <f aca="false">IFERROR(INDEX(Catalogo!$E$2:$E$29,MATCH($E196,Catalogo!$B$2:$B$29,0)),"")</f>
        <v/>
      </c>
      <c r="I196" s="31" t="str">
        <f aca="false">IFERROR(INDEX(Parametros!$C$13:$C$16,MATCH($F196,Parametros!$B$13:$B$16,0)),"")</f>
        <v/>
      </c>
      <c r="J196" s="36" t="str">
        <f aca="false">IFERROR(INDEX(Parametros!$E$13:$E$16,MATCH($F196,Parametros!$B$13:$B$16,0)),"")</f>
        <v/>
      </c>
      <c r="K196" s="33"/>
      <c r="L196" s="34" t="str">
        <f aca="false">IF(OR($K196="",$J196="",$J196=0),"",$K196+$J196)</f>
        <v/>
      </c>
      <c r="M196" s="29"/>
      <c r="N196" s="33"/>
      <c r="O196" s="33"/>
      <c r="P196" s="35" t="str">
        <f aca="false">IFERROR(INDEX(Parametros!$D$13:$D$16,MATCH($F196,Parametros!$B$13:$B$16,0)),"")</f>
        <v/>
      </c>
      <c r="Q196" s="30" t="str">
        <f aca="false">IF($F196="","",IF($F196="D","NAO","SIM"))</f>
        <v/>
      </c>
      <c r="R196" s="35" t="n">
        <f aca="false">IF(AND($M196="VERIFICADO",$Q196="SIM"),$P196,0)</f>
        <v>0</v>
      </c>
    </row>
    <row r="197" customFormat="false" ht="15" hidden="false" customHeight="false" outlineLevel="0" collapsed="false">
      <c r="A197" s="29"/>
      <c r="B197" s="29"/>
      <c r="C197" s="29"/>
      <c r="D197" s="29"/>
      <c r="E197" s="29"/>
      <c r="F197" s="30" t="str">
        <f aca="false">IFERROR(INDEX(Catalogo!$C$2:$C$29,MATCH($E197,Catalogo!$B$2:$B$29,0)),"")</f>
        <v/>
      </c>
      <c r="G197" s="11" t="str">
        <f aca="false">IFERROR(INDEX(Catalogo!$D$2:$D$29,MATCH($E197,Catalogo!$B$2:$B$29,0)),"")</f>
        <v/>
      </c>
      <c r="H197" s="11" t="str">
        <f aca="false">IFERROR(INDEX(Catalogo!$E$2:$E$29,MATCH($E197,Catalogo!$B$2:$B$29,0)),"")</f>
        <v/>
      </c>
      <c r="I197" s="31" t="str">
        <f aca="false">IFERROR(INDEX(Parametros!$C$13:$C$16,MATCH($F197,Parametros!$B$13:$B$16,0)),"")</f>
        <v/>
      </c>
      <c r="J197" s="36" t="str">
        <f aca="false">IFERROR(INDEX(Parametros!$E$13:$E$16,MATCH($F197,Parametros!$B$13:$B$16,0)),"")</f>
        <v/>
      </c>
      <c r="K197" s="33"/>
      <c r="L197" s="34" t="str">
        <f aca="false">IF(OR($K197="",$J197="",$J197=0),"",$K197+$J197)</f>
        <v/>
      </c>
      <c r="M197" s="29"/>
      <c r="N197" s="33"/>
      <c r="O197" s="33"/>
      <c r="P197" s="35" t="str">
        <f aca="false">IFERROR(INDEX(Parametros!$D$13:$D$16,MATCH($F197,Parametros!$B$13:$B$16,0)),"")</f>
        <v/>
      </c>
      <c r="Q197" s="30" t="str">
        <f aca="false">IF($F197="","",IF($F197="D","NAO","SIM"))</f>
        <v/>
      </c>
      <c r="R197" s="35" t="n">
        <f aca="false">IF(AND($M197="VERIFICADO",$Q197="SIM"),$P197,0)</f>
        <v>0</v>
      </c>
    </row>
    <row r="198" customFormat="false" ht="15" hidden="false" customHeight="false" outlineLevel="0" collapsed="false">
      <c r="A198" s="29"/>
      <c r="B198" s="29"/>
      <c r="C198" s="29"/>
      <c r="D198" s="29"/>
      <c r="E198" s="29"/>
      <c r="F198" s="30" t="str">
        <f aca="false">IFERROR(INDEX(Catalogo!$C$2:$C$29,MATCH($E198,Catalogo!$B$2:$B$29,0)),"")</f>
        <v/>
      </c>
      <c r="G198" s="11" t="str">
        <f aca="false">IFERROR(INDEX(Catalogo!$D$2:$D$29,MATCH($E198,Catalogo!$B$2:$B$29,0)),"")</f>
        <v/>
      </c>
      <c r="H198" s="11" t="str">
        <f aca="false">IFERROR(INDEX(Catalogo!$E$2:$E$29,MATCH($E198,Catalogo!$B$2:$B$29,0)),"")</f>
        <v/>
      </c>
      <c r="I198" s="31" t="str">
        <f aca="false">IFERROR(INDEX(Parametros!$C$13:$C$16,MATCH($F198,Parametros!$B$13:$B$16,0)),"")</f>
        <v/>
      </c>
      <c r="J198" s="36" t="str">
        <f aca="false">IFERROR(INDEX(Parametros!$E$13:$E$16,MATCH($F198,Parametros!$B$13:$B$16,0)),"")</f>
        <v/>
      </c>
      <c r="K198" s="33"/>
      <c r="L198" s="34" t="str">
        <f aca="false">IF(OR($K198="",$J198="",$J198=0),"",$K198+$J198)</f>
        <v/>
      </c>
      <c r="M198" s="29"/>
      <c r="N198" s="33"/>
      <c r="O198" s="33"/>
      <c r="P198" s="35" t="str">
        <f aca="false">IFERROR(INDEX(Parametros!$D$13:$D$16,MATCH($F198,Parametros!$B$13:$B$16,0)),"")</f>
        <v/>
      </c>
      <c r="Q198" s="30" t="str">
        <f aca="false">IF($F198="","",IF($F198="D","NAO","SIM"))</f>
        <v/>
      </c>
      <c r="R198" s="35" t="n">
        <f aca="false">IF(AND($M198="VERIFICADO",$Q198="SIM"),$P198,0)</f>
        <v>0</v>
      </c>
    </row>
    <row r="199" customFormat="false" ht="15" hidden="false" customHeight="false" outlineLevel="0" collapsed="false">
      <c r="A199" s="29"/>
      <c r="B199" s="29"/>
      <c r="C199" s="29"/>
      <c r="D199" s="29"/>
      <c r="E199" s="29"/>
      <c r="F199" s="30" t="str">
        <f aca="false">IFERROR(INDEX(Catalogo!$C$2:$C$29,MATCH($E199,Catalogo!$B$2:$B$29,0)),"")</f>
        <v/>
      </c>
      <c r="G199" s="11" t="str">
        <f aca="false">IFERROR(INDEX(Catalogo!$D$2:$D$29,MATCH($E199,Catalogo!$B$2:$B$29,0)),"")</f>
        <v/>
      </c>
      <c r="H199" s="11" t="str">
        <f aca="false">IFERROR(INDEX(Catalogo!$E$2:$E$29,MATCH($E199,Catalogo!$B$2:$B$29,0)),"")</f>
        <v/>
      </c>
      <c r="I199" s="31" t="str">
        <f aca="false">IFERROR(INDEX(Parametros!$C$13:$C$16,MATCH($F199,Parametros!$B$13:$B$16,0)),"")</f>
        <v/>
      </c>
      <c r="J199" s="36" t="str">
        <f aca="false">IFERROR(INDEX(Parametros!$E$13:$E$16,MATCH($F199,Parametros!$B$13:$B$16,0)),"")</f>
        <v/>
      </c>
      <c r="K199" s="33"/>
      <c r="L199" s="34" t="str">
        <f aca="false">IF(OR($K199="",$J199="",$J199=0),"",$K199+$J199)</f>
        <v/>
      </c>
      <c r="M199" s="29"/>
      <c r="N199" s="33"/>
      <c r="O199" s="33"/>
      <c r="P199" s="35" t="str">
        <f aca="false">IFERROR(INDEX(Parametros!$D$13:$D$16,MATCH($F199,Parametros!$B$13:$B$16,0)),"")</f>
        <v/>
      </c>
      <c r="Q199" s="30" t="str">
        <f aca="false">IF($F199="","",IF($F199="D","NAO","SIM"))</f>
        <v/>
      </c>
      <c r="R199" s="35" t="n">
        <f aca="false">IF(AND($M199="VERIFICADO",$Q199="SIM"),$P199,0)</f>
        <v>0</v>
      </c>
    </row>
    <row r="200" customFormat="false" ht="15" hidden="false" customHeight="false" outlineLevel="0" collapsed="false">
      <c r="A200" s="29"/>
      <c r="B200" s="29"/>
      <c r="C200" s="29"/>
      <c r="D200" s="29"/>
      <c r="E200" s="29"/>
      <c r="F200" s="30" t="str">
        <f aca="false">IFERROR(INDEX(Catalogo!$C$2:$C$29,MATCH($E200,Catalogo!$B$2:$B$29,0)),"")</f>
        <v/>
      </c>
      <c r="G200" s="11" t="str">
        <f aca="false">IFERROR(INDEX(Catalogo!$D$2:$D$29,MATCH($E200,Catalogo!$B$2:$B$29,0)),"")</f>
        <v/>
      </c>
      <c r="H200" s="11" t="str">
        <f aca="false">IFERROR(INDEX(Catalogo!$E$2:$E$29,MATCH($E200,Catalogo!$B$2:$B$29,0)),"")</f>
        <v/>
      </c>
      <c r="I200" s="31" t="str">
        <f aca="false">IFERROR(INDEX(Parametros!$C$13:$C$16,MATCH($F200,Parametros!$B$13:$B$16,0)),"")</f>
        <v/>
      </c>
      <c r="J200" s="36" t="str">
        <f aca="false">IFERROR(INDEX(Parametros!$E$13:$E$16,MATCH($F200,Parametros!$B$13:$B$16,0)),"")</f>
        <v/>
      </c>
      <c r="K200" s="33"/>
      <c r="L200" s="34" t="str">
        <f aca="false">IF(OR($K200="",$J200="",$J200=0),"",$K200+$J200)</f>
        <v/>
      </c>
      <c r="M200" s="29"/>
      <c r="N200" s="33"/>
      <c r="O200" s="33"/>
      <c r="P200" s="35" t="str">
        <f aca="false">IFERROR(INDEX(Parametros!$D$13:$D$16,MATCH($F200,Parametros!$B$13:$B$16,0)),"")</f>
        <v/>
      </c>
      <c r="Q200" s="30" t="str">
        <f aca="false">IF($F200="","",IF($F200="D","NAO","SIM"))</f>
        <v/>
      </c>
      <c r="R200" s="35" t="n">
        <f aca="false">IF(AND($M200="VERIFICADO",$Q200="SIM"),$P200,0)</f>
        <v>0</v>
      </c>
    </row>
    <row r="201" customFormat="false" ht="15" hidden="false" customHeight="false" outlineLevel="0" collapsed="false">
      <c r="A201" s="29"/>
      <c r="B201" s="29"/>
      <c r="C201" s="29"/>
      <c r="D201" s="29"/>
      <c r="E201" s="29"/>
      <c r="F201" s="30" t="str">
        <f aca="false">IFERROR(INDEX(Catalogo!$C$2:$C$29,MATCH($E201,Catalogo!$B$2:$B$29,0)),"")</f>
        <v/>
      </c>
      <c r="G201" s="11" t="str">
        <f aca="false">IFERROR(INDEX(Catalogo!$D$2:$D$29,MATCH($E201,Catalogo!$B$2:$B$29,0)),"")</f>
        <v/>
      </c>
      <c r="H201" s="11" t="str">
        <f aca="false">IFERROR(INDEX(Catalogo!$E$2:$E$29,MATCH($E201,Catalogo!$B$2:$B$29,0)),"")</f>
        <v/>
      </c>
      <c r="I201" s="31" t="str">
        <f aca="false">IFERROR(INDEX(Parametros!$C$13:$C$16,MATCH($F201,Parametros!$B$13:$B$16,0)),"")</f>
        <v/>
      </c>
      <c r="J201" s="36" t="str">
        <f aca="false">IFERROR(INDEX(Parametros!$E$13:$E$16,MATCH($F201,Parametros!$B$13:$B$16,0)),"")</f>
        <v/>
      </c>
      <c r="K201" s="33"/>
      <c r="L201" s="34" t="str">
        <f aca="false">IF(OR($K201="",$J201="",$J201=0),"",$K201+$J201)</f>
        <v/>
      </c>
      <c r="M201" s="29"/>
      <c r="N201" s="33"/>
      <c r="O201" s="33"/>
      <c r="P201" s="35" t="str">
        <f aca="false">IFERROR(INDEX(Parametros!$D$13:$D$16,MATCH($F201,Parametros!$B$13:$B$16,0)),"")</f>
        <v/>
      </c>
      <c r="Q201" s="30" t="str">
        <f aca="false">IF($F201="","",IF($F201="D","NAO","SIM"))</f>
        <v/>
      </c>
      <c r="R201" s="35" t="n">
        <f aca="false">IF(AND($M201="VERIFICADO",$Q201="SIM"),$P201,0)</f>
        <v>0</v>
      </c>
    </row>
  </sheetData>
  <autoFilter ref="A1:R201"/>
  <conditionalFormatting sqref="F2:F201">
    <cfRule type="cellIs" priority="2" operator="equal" aboveAverage="0" equalAverage="0" bottom="0" percent="0" rank="0" text="" dxfId="8">
      <formula>"A"</formula>
    </cfRule>
    <cfRule type="cellIs" priority="3" operator="equal" aboveAverage="0" equalAverage="0" bottom="0" percent="0" rank="0" text="" dxfId="9">
      <formula>"B"</formula>
    </cfRule>
    <cfRule type="cellIs" priority="4" operator="equal" aboveAverage="0" equalAverage="0" bottom="0" percent="0" rank="0" text="" dxfId="10">
      <formula>"C"</formula>
    </cfRule>
    <cfRule type="cellIs" priority="5" operator="equal" aboveAverage="0" equalAverage="0" bottom="0" percent="0" rank="0" text="" dxfId="11">
      <formula>"D"</formula>
    </cfRule>
  </conditionalFormatting>
  <dataValidations count="2">
    <dataValidation allowBlank="true" error="Selecione um tipo existente no Catalogo." errorStyle="stop" errorTitle="Tipo invalido" operator="between" showDropDown="false" showErrorMessage="false" showInputMessage="false" sqref="E2:E201" type="list">
      <formula1>Catalogo!$B$2:$B$29</formula1>
      <formula2>0</formula2>
    </dataValidation>
    <dataValidation allowBlank="true" errorStyle="stop" operator="between" showDropDown="false" showErrorMessage="false" showInputMessage="false" sqref="M2:M201" type="list">
      <formula1>"TRIADO,PROTOCOLADO,EM ANALISE,DEFERIDO,INDEFERIDO,VERIFICADO,ENCERRADO,RECUSADO"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9" min="6" style="0" width="6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6" min="14" style="0" width="15"/>
  </cols>
  <sheetData>
    <row r="1" customFormat="false" ht="31.5" hidden="false" customHeight="true" outlineLevel="0" collapsed="false">
      <c r="A1" s="28" t="s">
        <v>206</v>
      </c>
      <c r="B1" s="28" t="s">
        <v>207</v>
      </c>
      <c r="C1" s="28" t="s">
        <v>231</v>
      </c>
      <c r="D1" s="28" t="s">
        <v>232</v>
      </c>
      <c r="E1" s="28" t="s">
        <v>233</v>
      </c>
      <c r="F1" s="28" t="s">
        <v>58</v>
      </c>
      <c r="G1" s="28" t="s">
        <v>60</v>
      </c>
      <c r="H1" s="28" t="s">
        <v>62</v>
      </c>
      <c r="I1" s="28" t="s">
        <v>64</v>
      </c>
      <c r="J1" s="28" t="s">
        <v>234</v>
      </c>
      <c r="K1" s="28" t="s">
        <v>235</v>
      </c>
      <c r="L1" s="28" t="s">
        <v>236</v>
      </c>
      <c r="M1" s="28" t="s">
        <v>237</v>
      </c>
      <c r="N1" s="28" t="s">
        <v>238</v>
      </c>
      <c r="O1" s="28" t="s">
        <v>239</v>
      </c>
      <c r="P1" s="28" t="s">
        <v>240</v>
      </c>
    </row>
    <row r="2" customFormat="false" ht="15" hidden="false" customHeight="false" outlineLevel="0" collapsed="false">
      <c r="A2" s="29" t="s">
        <v>218</v>
      </c>
      <c r="B2" s="29" t="s">
        <v>219</v>
      </c>
      <c r="C2" s="29" t="s">
        <v>241</v>
      </c>
      <c r="D2" s="33" t="s">
        <v>221</v>
      </c>
      <c r="E2" s="30" t="n">
        <f aca="false">IF($A2="","",COUNTIFS(Triagem!$B:$B,$A2))</f>
        <v>3</v>
      </c>
      <c r="F2" s="30" t="n">
        <f aca="false">IF($A2="","",COUNTIFS(Triagem!$B:$B,$A2,Triagem!$F:$F,"A"))</f>
        <v>1</v>
      </c>
      <c r="G2" s="30" t="n">
        <f aca="false">IF($A2="","",COUNTIFS(Triagem!$B:$B,$A2,Triagem!$F:$F,"B"))</f>
        <v>1</v>
      </c>
      <c r="H2" s="30" t="n">
        <f aca="false">IF($A2="","",COUNTIFS(Triagem!$B:$B,$A2,Triagem!$F:$F,"C"))</f>
        <v>0</v>
      </c>
      <c r="I2" s="30" t="n">
        <f aca="false">IF($A2="","",COUNTIFS(Triagem!$B:$B,$A2,Triagem!$F:$F,"D"))</f>
        <v>1</v>
      </c>
      <c r="J2" s="35" t="n">
        <f aca="false">IF($A2="","",Parametros!$C$6)</f>
        <v>197</v>
      </c>
      <c r="K2" s="35" t="n">
        <f aca="false">IF($A2="","",$G2*Parametros!$C$7)</f>
        <v>300</v>
      </c>
      <c r="L2" s="35" t="n">
        <f aca="false">IF($A2="","",SUMIFS(Triagem!$R:$R,Triagem!$B:$B,$A2))</f>
        <v>650</v>
      </c>
      <c r="M2" s="35" t="n">
        <f aca="false">IF($A2="","",IF($C2="PJ",Parametros!$C$9,Parametros!$C$8))</f>
        <v>79</v>
      </c>
      <c r="N2" s="35" t="n">
        <f aca="false">IF($A2="","",$J2+$K2+$L2)</f>
        <v>1147</v>
      </c>
      <c r="O2" s="31" t="n">
        <f aca="false">IF($A2="","",IFERROR(COUNTIFS(Triagem!$B:$B,$A2,Triagem!$M:$M,"VERIFICADO")/COUNTIFS(Triagem!$B:$B,$A2,Triagem!$Q:$Q,"SIM"),""))</f>
        <v>0.5</v>
      </c>
      <c r="P2" s="31" t="n">
        <f aca="false">IF($A2="","",IFERROR(SUMIFS(Triagem!$I:$I,Triagem!$B:$B,$A2,Triagem!$Q:$Q,"SIM")/COUNTIFS(Triagem!$B:$B,$A2,Triagem!$Q:$Q,"SIM"),""))</f>
        <v>0.7375</v>
      </c>
    </row>
    <row r="3" customFormat="false" ht="15" hidden="false" customHeight="false" outlineLevel="0" collapsed="false">
      <c r="A3" s="29"/>
      <c r="B3" s="29"/>
      <c r="C3" s="29"/>
      <c r="D3" s="33"/>
      <c r="E3" s="30" t="str">
        <f aca="false">IF($A3="","",COUNTIFS(Triagem!$B:$B,$A3))</f>
        <v/>
      </c>
      <c r="F3" s="30" t="str">
        <f aca="false">IF($A3="","",COUNTIFS(Triagem!$B:$B,$A3,Triagem!$F:$F,"A"))</f>
        <v/>
      </c>
      <c r="G3" s="30" t="str">
        <f aca="false">IF($A3="","",COUNTIFS(Triagem!$B:$B,$A3,Triagem!$F:$F,"B"))</f>
        <v/>
      </c>
      <c r="H3" s="30" t="str">
        <f aca="false">IF($A3="","",COUNTIFS(Triagem!$B:$B,$A3,Triagem!$F:$F,"C"))</f>
        <v/>
      </c>
      <c r="I3" s="30" t="str">
        <f aca="false">IF($A3="","",COUNTIFS(Triagem!$B:$B,$A3,Triagem!$F:$F,"D"))</f>
        <v/>
      </c>
      <c r="J3" s="35" t="str">
        <f aca="false">IF($A3="","",Parametros!$C$6)</f>
        <v/>
      </c>
      <c r="K3" s="35" t="str">
        <f aca="false">IF($A3="","",$G3*Parametros!$C$7)</f>
        <v/>
      </c>
      <c r="L3" s="35" t="str">
        <f aca="false">IF($A3="","",SUMIFS(Triagem!$R:$R,Triagem!$B:$B,$A3))</f>
        <v/>
      </c>
      <c r="M3" s="35" t="str">
        <f aca="false">IF($A3="","",IF($C3="PJ",Parametros!$C$9,Parametros!$C$8))</f>
        <v/>
      </c>
      <c r="N3" s="35" t="str">
        <f aca="false">IF($A3="","",$J3+$K3+$L3)</f>
        <v/>
      </c>
      <c r="O3" s="31" t="str">
        <f aca="false">IF($A3="","",IFERROR(COUNTIFS(Triagem!$B:$B,$A3,Triagem!$M:$M,"VERIFICADO")/COUNTIFS(Triagem!$B:$B,$A3,Triagem!$Q:$Q,"SIM"),""))</f>
        <v/>
      </c>
      <c r="P3" s="31" t="str">
        <f aca="false">IF($A3="","",IFERROR(SUMIFS(Triagem!$I:$I,Triagem!$B:$B,$A3,Triagem!$Q:$Q,"SIM")/COUNTIFS(Triagem!$B:$B,$A3,Triagem!$Q:$Q,"SIM"),""))</f>
        <v/>
      </c>
    </row>
    <row r="4" customFormat="false" ht="15" hidden="false" customHeight="false" outlineLevel="0" collapsed="false">
      <c r="A4" s="29"/>
      <c r="B4" s="29"/>
      <c r="C4" s="29"/>
      <c r="D4" s="33"/>
      <c r="E4" s="30" t="str">
        <f aca="false">IF($A4="","",COUNTIFS(Triagem!$B:$B,$A4))</f>
        <v/>
      </c>
      <c r="F4" s="30" t="str">
        <f aca="false">IF($A4="","",COUNTIFS(Triagem!$B:$B,$A4,Triagem!$F:$F,"A"))</f>
        <v/>
      </c>
      <c r="G4" s="30" t="str">
        <f aca="false">IF($A4="","",COUNTIFS(Triagem!$B:$B,$A4,Triagem!$F:$F,"B"))</f>
        <v/>
      </c>
      <c r="H4" s="30" t="str">
        <f aca="false">IF($A4="","",COUNTIFS(Triagem!$B:$B,$A4,Triagem!$F:$F,"C"))</f>
        <v/>
      </c>
      <c r="I4" s="30" t="str">
        <f aca="false">IF($A4="","",COUNTIFS(Triagem!$B:$B,$A4,Triagem!$F:$F,"D"))</f>
        <v/>
      </c>
      <c r="J4" s="35" t="str">
        <f aca="false">IF($A4="","",Parametros!$C$6)</f>
        <v/>
      </c>
      <c r="K4" s="35" t="str">
        <f aca="false">IF($A4="","",$G4*Parametros!$C$7)</f>
        <v/>
      </c>
      <c r="L4" s="35" t="str">
        <f aca="false">IF($A4="","",SUMIFS(Triagem!$R:$R,Triagem!$B:$B,$A4))</f>
        <v/>
      </c>
      <c r="M4" s="35" t="str">
        <f aca="false">IF($A4="","",IF($C4="PJ",Parametros!$C$9,Parametros!$C$8))</f>
        <v/>
      </c>
      <c r="N4" s="35" t="str">
        <f aca="false">IF($A4="","",$J4+$K4+$L4)</f>
        <v/>
      </c>
      <c r="O4" s="31" t="str">
        <f aca="false">IF($A4="","",IFERROR(COUNTIFS(Triagem!$B:$B,$A4,Triagem!$M:$M,"VERIFICADO")/COUNTIFS(Triagem!$B:$B,$A4,Triagem!$Q:$Q,"SIM"),""))</f>
        <v/>
      </c>
      <c r="P4" s="31" t="str">
        <f aca="false">IF($A4="","",IFERROR(SUMIFS(Triagem!$I:$I,Triagem!$B:$B,$A4,Triagem!$Q:$Q,"SIM")/COUNTIFS(Triagem!$B:$B,$A4,Triagem!$Q:$Q,"SIM"),""))</f>
        <v/>
      </c>
    </row>
    <row r="5" customFormat="false" ht="15" hidden="false" customHeight="false" outlineLevel="0" collapsed="false">
      <c r="A5" s="29"/>
      <c r="B5" s="29"/>
      <c r="C5" s="29"/>
      <c r="D5" s="33"/>
      <c r="E5" s="30" t="str">
        <f aca="false">IF($A5="","",COUNTIFS(Triagem!$B:$B,$A5))</f>
        <v/>
      </c>
      <c r="F5" s="30" t="str">
        <f aca="false">IF($A5="","",COUNTIFS(Triagem!$B:$B,$A5,Triagem!$F:$F,"A"))</f>
        <v/>
      </c>
      <c r="G5" s="30" t="str">
        <f aca="false">IF($A5="","",COUNTIFS(Triagem!$B:$B,$A5,Triagem!$F:$F,"B"))</f>
        <v/>
      </c>
      <c r="H5" s="30" t="str">
        <f aca="false">IF($A5="","",COUNTIFS(Triagem!$B:$B,$A5,Triagem!$F:$F,"C"))</f>
        <v/>
      </c>
      <c r="I5" s="30" t="str">
        <f aca="false">IF($A5="","",COUNTIFS(Triagem!$B:$B,$A5,Triagem!$F:$F,"D"))</f>
        <v/>
      </c>
      <c r="J5" s="35" t="str">
        <f aca="false">IF($A5="","",Parametros!$C$6)</f>
        <v/>
      </c>
      <c r="K5" s="35" t="str">
        <f aca="false">IF($A5="","",$G5*Parametros!$C$7)</f>
        <v/>
      </c>
      <c r="L5" s="35" t="str">
        <f aca="false">IF($A5="","",SUMIFS(Triagem!$R:$R,Triagem!$B:$B,$A5))</f>
        <v/>
      </c>
      <c r="M5" s="35" t="str">
        <f aca="false">IF($A5="","",IF($C5="PJ",Parametros!$C$9,Parametros!$C$8))</f>
        <v/>
      </c>
      <c r="N5" s="35" t="str">
        <f aca="false">IF($A5="","",$J5+$K5+$L5)</f>
        <v/>
      </c>
      <c r="O5" s="31" t="str">
        <f aca="false">IF($A5="","",IFERROR(COUNTIFS(Triagem!$B:$B,$A5,Triagem!$M:$M,"VERIFICADO")/COUNTIFS(Triagem!$B:$B,$A5,Triagem!$Q:$Q,"SIM"),""))</f>
        <v/>
      </c>
      <c r="P5" s="31" t="str">
        <f aca="false">IF($A5="","",IFERROR(SUMIFS(Triagem!$I:$I,Triagem!$B:$B,$A5,Triagem!$Q:$Q,"SIM")/COUNTIFS(Triagem!$B:$B,$A5,Triagem!$Q:$Q,"SIM"),""))</f>
        <v/>
      </c>
    </row>
    <row r="6" customFormat="false" ht="15" hidden="false" customHeight="false" outlineLevel="0" collapsed="false">
      <c r="A6" s="29"/>
      <c r="B6" s="29"/>
      <c r="C6" s="29"/>
      <c r="D6" s="33"/>
      <c r="E6" s="30" t="str">
        <f aca="false">IF($A6="","",COUNTIFS(Triagem!$B:$B,$A6))</f>
        <v/>
      </c>
      <c r="F6" s="30" t="str">
        <f aca="false">IF($A6="","",COUNTIFS(Triagem!$B:$B,$A6,Triagem!$F:$F,"A"))</f>
        <v/>
      </c>
      <c r="G6" s="30" t="str">
        <f aca="false">IF($A6="","",COUNTIFS(Triagem!$B:$B,$A6,Triagem!$F:$F,"B"))</f>
        <v/>
      </c>
      <c r="H6" s="30" t="str">
        <f aca="false">IF($A6="","",COUNTIFS(Triagem!$B:$B,$A6,Triagem!$F:$F,"C"))</f>
        <v/>
      </c>
      <c r="I6" s="30" t="str">
        <f aca="false">IF($A6="","",COUNTIFS(Triagem!$B:$B,$A6,Triagem!$F:$F,"D"))</f>
        <v/>
      </c>
      <c r="J6" s="35" t="str">
        <f aca="false">IF($A6="","",Parametros!$C$6)</f>
        <v/>
      </c>
      <c r="K6" s="35" t="str">
        <f aca="false">IF($A6="","",$G6*Parametros!$C$7)</f>
        <v/>
      </c>
      <c r="L6" s="35" t="str">
        <f aca="false">IF($A6="","",SUMIFS(Triagem!$R:$R,Triagem!$B:$B,$A6))</f>
        <v/>
      </c>
      <c r="M6" s="35" t="str">
        <f aca="false">IF($A6="","",IF($C6="PJ",Parametros!$C$9,Parametros!$C$8))</f>
        <v/>
      </c>
      <c r="N6" s="35" t="str">
        <f aca="false">IF($A6="","",$J6+$K6+$L6)</f>
        <v/>
      </c>
      <c r="O6" s="31" t="str">
        <f aca="false">IF($A6="","",IFERROR(COUNTIFS(Triagem!$B:$B,$A6,Triagem!$M:$M,"VERIFICADO")/COUNTIFS(Triagem!$B:$B,$A6,Triagem!$Q:$Q,"SIM"),""))</f>
        <v/>
      </c>
      <c r="P6" s="31" t="str">
        <f aca="false">IF($A6="","",IFERROR(SUMIFS(Triagem!$I:$I,Triagem!$B:$B,$A6,Triagem!$Q:$Q,"SIM")/COUNTIFS(Triagem!$B:$B,$A6,Triagem!$Q:$Q,"SIM"),""))</f>
        <v/>
      </c>
    </row>
    <row r="7" customFormat="false" ht="15" hidden="false" customHeight="false" outlineLevel="0" collapsed="false">
      <c r="A7" s="29"/>
      <c r="B7" s="29"/>
      <c r="C7" s="29"/>
      <c r="D7" s="33"/>
      <c r="E7" s="30" t="str">
        <f aca="false">IF($A7="","",COUNTIFS(Triagem!$B:$B,$A7))</f>
        <v/>
      </c>
      <c r="F7" s="30" t="str">
        <f aca="false">IF($A7="","",COUNTIFS(Triagem!$B:$B,$A7,Triagem!$F:$F,"A"))</f>
        <v/>
      </c>
      <c r="G7" s="30" t="str">
        <f aca="false">IF($A7="","",COUNTIFS(Triagem!$B:$B,$A7,Triagem!$F:$F,"B"))</f>
        <v/>
      </c>
      <c r="H7" s="30" t="str">
        <f aca="false">IF($A7="","",COUNTIFS(Triagem!$B:$B,$A7,Triagem!$F:$F,"C"))</f>
        <v/>
      </c>
      <c r="I7" s="30" t="str">
        <f aca="false">IF($A7="","",COUNTIFS(Triagem!$B:$B,$A7,Triagem!$F:$F,"D"))</f>
        <v/>
      </c>
      <c r="J7" s="35" t="str">
        <f aca="false">IF($A7="","",Parametros!$C$6)</f>
        <v/>
      </c>
      <c r="K7" s="35" t="str">
        <f aca="false">IF($A7="","",$G7*Parametros!$C$7)</f>
        <v/>
      </c>
      <c r="L7" s="35" t="str">
        <f aca="false">IF($A7="","",SUMIFS(Triagem!$R:$R,Triagem!$B:$B,$A7))</f>
        <v/>
      </c>
      <c r="M7" s="35" t="str">
        <f aca="false">IF($A7="","",IF($C7="PJ",Parametros!$C$9,Parametros!$C$8))</f>
        <v/>
      </c>
      <c r="N7" s="35" t="str">
        <f aca="false">IF($A7="","",$J7+$K7+$L7)</f>
        <v/>
      </c>
      <c r="O7" s="31" t="str">
        <f aca="false">IF($A7="","",IFERROR(COUNTIFS(Triagem!$B:$B,$A7,Triagem!$M:$M,"VERIFICADO")/COUNTIFS(Triagem!$B:$B,$A7,Triagem!$Q:$Q,"SIM"),""))</f>
        <v/>
      </c>
      <c r="P7" s="31" t="str">
        <f aca="false">IF($A7="","",IFERROR(SUMIFS(Triagem!$I:$I,Triagem!$B:$B,$A7,Triagem!$Q:$Q,"SIM")/COUNTIFS(Triagem!$B:$B,$A7,Triagem!$Q:$Q,"SIM"),""))</f>
        <v/>
      </c>
    </row>
    <row r="8" customFormat="false" ht="15" hidden="false" customHeight="false" outlineLevel="0" collapsed="false">
      <c r="A8" s="29"/>
      <c r="B8" s="29"/>
      <c r="C8" s="29"/>
      <c r="D8" s="33"/>
      <c r="E8" s="30" t="str">
        <f aca="false">IF($A8="","",COUNTIFS(Triagem!$B:$B,$A8))</f>
        <v/>
      </c>
      <c r="F8" s="30" t="str">
        <f aca="false">IF($A8="","",COUNTIFS(Triagem!$B:$B,$A8,Triagem!$F:$F,"A"))</f>
        <v/>
      </c>
      <c r="G8" s="30" t="str">
        <f aca="false">IF($A8="","",COUNTIFS(Triagem!$B:$B,$A8,Triagem!$F:$F,"B"))</f>
        <v/>
      </c>
      <c r="H8" s="30" t="str">
        <f aca="false">IF($A8="","",COUNTIFS(Triagem!$B:$B,$A8,Triagem!$F:$F,"C"))</f>
        <v/>
      </c>
      <c r="I8" s="30" t="str">
        <f aca="false">IF($A8="","",COUNTIFS(Triagem!$B:$B,$A8,Triagem!$F:$F,"D"))</f>
        <v/>
      </c>
      <c r="J8" s="35" t="str">
        <f aca="false">IF($A8="","",Parametros!$C$6)</f>
        <v/>
      </c>
      <c r="K8" s="35" t="str">
        <f aca="false">IF($A8="","",$G8*Parametros!$C$7)</f>
        <v/>
      </c>
      <c r="L8" s="35" t="str">
        <f aca="false">IF($A8="","",SUMIFS(Triagem!$R:$R,Triagem!$B:$B,$A8))</f>
        <v/>
      </c>
      <c r="M8" s="35" t="str">
        <f aca="false">IF($A8="","",IF($C8="PJ",Parametros!$C$9,Parametros!$C$8))</f>
        <v/>
      </c>
      <c r="N8" s="35" t="str">
        <f aca="false">IF($A8="","",$J8+$K8+$L8)</f>
        <v/>
      </c>
      <c r="O8" s="31" t="str">
        <f aca="false">IF($A8="","",IFERROR(COUNTIFS(Triagem!$B:$B,$A8,Triagem!$M:$M,"VERIFICADO")/COUNTIFS(Triagem!$B:$B,$A8,Triagem!$Q:$Q,"SIM"),""))</f>
        <v/>
      </c>
      <c r="P8" s="31" t="str">
        <f aca="false">IF($A8="","",IFERROR(SUMIFS(Triagem!$I:$I,Triagem!$B:$B,$A8,Triagem!$Q:$Q,"SIM")/COUNTIFS(Triagem!$B:$B,$A8,Triagem!$Q:$Q,"SIM"),""))</f>
        <v/>
      </c>
    </row>
    <row r="9" customFormat="false" ht="15" hidden="false" customHeight="false" outlineLevel="0" collapsed="false">
      <c r="A9" s="29"/>
      <c r="B9" s="29"/>
      <c r="C9" s="29"/>
      <c r="D9" s="33"/>
      <c r="E9" s="30" t="str">
        <f aca="false">IF($A9="","",COUNTIFS(Triagem!$B:$B,$A9))</f>
        <v/>
      </c>
      <c r="F9" s="30" t="str">
        <f aca="false">IF($A9="","",COUNTIFS(Triagem!$B:$B,$A9,Triagem!$F:$F,"A"))</f>
        <v/>
      </c>
      <c r="G9" s="30" t="str">
        <f aca="false">IF($A9="","",COUNTIFS(Triagem!$B:$B,$A9,Triagem!$F:$F,"B"))</f>
        <v/>
      </c>
      <c r="H9" s="30" t="str">
        <f aca="false">IF($A9="","",COUNTIFS(Triagem!$B:$B,$A9,Triagem!$F:$F,"C"))</f>
        <v/>
      </c>
      <c r="I9" s="30" t="str">
        <f aca="false">IF($A9="","",COUNTIFS(Triagem!$B:$B,$A9,Triagem!$F:$F,"D"))</f>
        <v/>
      </c>
      <c r="J9" s="35" t="str">
        <f aca="false">IF($A9="","",Parametros!$C$6)</f>
        <v/>
      </c>
      <c r="K9" s="35" t="str">
        <f aca="false">IF($A9="","",$G9*Parametros!$C$7)</f>
        <v/>
      </c>
      <c r="L9" s="35" t="str">
        <f aca="false">IF($A9="","",SUMIFS(Triagem!$R:$R,Triagem!$B:$B,$A9))</f>
        <v/>
      </c>
      <c r="M9" s="35" t="str">
        <f aca="false">IF($A9="","",IF($C9="PJ",Parametros!$C$9,Parametros!$C$8))</f>
        <v/>
      </c>
      <c r="N9" s="35" t="str">
        <f aca="false">IF($A9="","",$J9+$K9+$L9)</f>
        <v/>
      </c>
      <c r="O9" s="31" t="str">
        <f aca="false">IF($A9="","",IFERROR(COUNTIFS(Triagem!$B:$B,$A9,Triagem!$M:$M,"VERIFICADO")/COUNTIFS(Triagem!$B:$B,$A9,Triagem!$Q:$Q,"SIM"),""))</f>
        <v/>
      </c>
      <c r="P9" s="31" t="str">
        <f aca="false">IF($A9="","",IFERROR(SUMIFS(Triagem!$I:$I,Triagem!$B:$B,$A9,Triagem!$Q:$Q,"SIM")/COUNTIFS(Triagem!$B:$B,$A9,Triagem!$Q:$Q,"SIM"),""))</f>
        <v/>
      </c>
    </row>
    <row r="10" customFormat="false" ht="15" hidden="false" customHeight="false" outlineLevel="0" collapsed="false">
      <c r="A10" s="29"/>
      <c r="B10" s="29"/>
      <c r="C10" s="29"/>
      <c r="D10" s="33"/>
      <c r="E10" s="30" t="str">
        <f aca="false">IF($A10="","",COUNTIFS(Triagem!$B:$B,$A10))</f>
        <v/>
      </c>
      <c r="F10" s="30" t="str">
        <f aca="false">IF($A10="","",COUNTIFS(Triagem!$B:$B,$A10,Triagem!$F:$F,"A"))</f>
        <v/>
      </c>
      <c r="G10" s="30" t="str">
        <f aca="false">IF($A10="","",COUNTIFS(Triagem!$B:$B,$A10,Triagem!$F:$F,"B"))</f>
        <v/>
      </c>
      <c r="H10" s="30" t="str">
        <f aca="false">IF($A10="","",COUNTIFS(Triagem!$B:$B,$A10,Triagem!$F:$F,"C"))</f>
        <v/>
      </c>
      <c r="I10" s="30" t="str">
        <f aca="false">IF($A10="","",COUNTIFS(Triagem!$B:$B,$A10,Triagem!$F:$F,"D"))</f>
        <v/>
      </c>
      <c r="J10" s="35" t="str">
        <f aca="false">IF($A10="","",Parametros!$C$6)</f>
        <v/>
      </c>
      <c r="K10" s="35" t="str">
        <f aca="false">IF($A10="","",$G10*Parametros!$C$7)</f>
        <v/>
      </c>
      <c r="L10" s="35" t="str">
        <f aca="false">IF($A10="","",SUMIFS(Triagem!$R:$R,Triagem!$B:$B,$A10))</f>
        <v/>
      </c>
      <c r="M10" s="35" t="str">
        <f aca="false">IF($A10="","",IF($C10="PJ",Parametros!$C$9,Parametros!$C$8))</f>
        <v/>
      </c>
      <c r="N10" s="35" t="str">
        <f aca="false">IF($A10="","",$J10+$K10+$L10)</f>
        <v/>
      </c>
      <c r="O10" s="31" t="str">
        <f aca="false">IF($A10="","",IFERROR(COUNTIFS(Triagem!$B:$B,$A10,Triagem!$M:$M,"VERIFICADO")/COUNTIFS(Triagem!$B:$B,$A10,Triagem!$Q:$Q,"SIM"),""))</f>
        <v/>
      </c>
      <c r="P10" s="31" t="str">
        <f aca="false">IF($A10="","",IFERROR(SUMIFS(Triagem!$I:$I,Triagem!$B:$B,$A10,Triagem!$Q:$Q,"SIM")/COUNTIFS(Triagem!$B:$B,$A10,Triagem!$Q:$Q,"SIM"),""))</f>
        <v/>
      </c>
    </row>
    <row r="11" customFormat="false" ht="15" hidden="false" customHeight="false" outlineLevel="0" collapsed="false">
      <c r="A11" s="29"/>
      <c r="B11" s="29"/>
      <c r="C11" s="29"/>
      <c r="D11" s="33"/>
      <c r="E11" s="30" t="str">
        <f aca="false">IF($A11="","",COUNTIFS(Triagem!$B:$B,$A11))</f>
        <v/>
      </c>
      <c r="F11" s="30" t="str">
        <f aca="false">IF($A11="","",COUNTIFS(Triagem!$B:$B,$A11,Triagem!$F:$F,"A"))</f>
        <v/>
      </c>
      <c r="G11" s="30" t="str">
        <f aca="false">IF($A11="","",COUNTIFS(Triagem!$B:$B,$A11,Triagem!$F:$F,"B"))</f>
        <v/>
      </c>
      <c r="H11" s="30" t="str">
        <f aca="false">IF($A11="","",COUNTIFS(Triagem!$B:$B,$A11,Triagem!$F:$F,"C"))</f>
        <v/>
      </c>
      <c r="I11" s="30" t="str">
        <f aca="false">IF($A11="","",COUNTIFS(Triagem!$B:$B,$A11,Triagem!$F:$F,"D"))</f>
        <v/>
      </c>
      <c r="J11" s="35" t="str">
        <f aca="false">IF($A11="","",Parametros!$C$6)</f>
        <v/>
      </c>
      <c r="K11" s="35" t="str">
        <f aca="false">IF($A11="","",$G11*Parametros!$C$7)</f>
        <v/>
      </c>
      <c r="L11" s="35" t="str">
        <f aca="false">IF($A11="","",SUMIFS(Triagem!$R:$R,Triagem!$B:$B,$A11))</f>
        <v/>
      </c>
      <c r="M11" s="35" t="str">
        <f aca="false">IF($A11="","",IF($C11="PJ",Parametros!$C$9,Parametros!$C$8))</f>
        <v/>
      </c>
      <c r="N11" s="35" t="str">
        <f aca="false">IF($A11="","",$J11+$K11+$L11)</f>
        <v/>
      </c>
      <c r="O11" s="31" t="str">
        <f aca="false">IF($A11="","",IFERROR(COUNTIFS(Triagem!$B:$B,$A11,Triagem!$M:$M,"VERIFICADO")/COUNTIFS(Triagem!$B:$B,$A11,Triagem!$Q:$Q,"SIM"),""))</f>
        <v/>
      </c>
      <c r="P11" s="31" t="str">
        <f aca="false">IF($A11="","",IFERROR(SUMIFS(Triagem!$I:$I,Triagem!$B:$B,$A11,Triagem!$Q:$Q,"SIM")/COUNTIFS(Triagem!$B:$B,$A11,Triagem!$Q:$Q,"SIM"),""))</f>
        <v/>
      </c>
    </row>
    <row r="12" customFormat="false" ht="15" hidden="false" customHeight="false" outlineLevel="0" collapsed="false">
      <c r="A12" s="29"/>
      <c r="B12" s="29"/>
      <c r="C12" s="29"/>
      <c r="D12" s="33"/>
      <c r="E12" s="30" t="str">
        <f aca="false">IF($A12="","",COUNTIFS(Triagem!$B:$B,$A12))</f>
        <v/>
      </c>
      <c r="F12" s="30" t="str">
        <f aca="false">IF($A12="","",COUNTIFS(Triagem!$B:$B,$A12,Triagem!$F:$F,"A"))</f>
        <v/>
      </c>
      <c r="G12" s="30" t="str">
        <f aca="false">IF($A12="","",COUNTIFS(Triagem!$B:$B,$A12,Triagem!$F:$F,"B"))</f>
        <v/>
      </c>
      <c r="H12" s="30" t="str">
        <f aca="false">IF($A12="","",COUNTIFS(Triagem!$B:$B,$A12,Triagem!$F:$F,"C"))</f>
        <v/>
      </c>
      <c r="I12" s="30" t="str">
        <f aca="false">IF($A12="","",COUNTIFS(Triagem!$B:$B,$A12,Triagem!$F:$F,"D"))</f>
        <v/>
      </c>
      <c r="J12" s="35" t="str">
        <f aca="false">IF($A12="","",Parametros!$C$6)</f>
        <v/>
      </c>
      <c r="K12" s="35" t="str">
        <f aca="false">IF($A12="","",$G12*Parametros!$C$7)</f>
        <v/>
      </c>
      <c r="L12" s="35" t="str">
        <f aca="false">IF($A12="","",SUMIFS(Triagem!$R:$R,Triagem!$B:$B,$A12))</f>
        <v/>
      </c>
      <c r="M12" s="35" t="str">
        <f aca="false">IF($A12="","",IF($C12="PJ",Parametros!$C$9,Parametros!$C$8))</f>
        <v/>
      </c>
      <c r="N12" s="35" t="str">
        <f aca="false">IF($A12="","",$J12+$K12+$L12)</f>
        <v/>
      </c>
      <c r="O12" s="31" t="str">
        <f aca="false">IF($A12="","",IFERROR(COUNTIFS(Triagem!$B:$B,$A12,Triagem!$M:$M,"VERIFICADO")/COUNTIFS(Triagem!$B:$B,$A12,Triagem!$Q:$Q,"SIM"),""))</f>
        <v/>
      </c>
      <c r="P12" s="31" t="str">
        <f aca="false">IF($A12="","",IFERROR(SUMIFS(Triagem!$I:$I,Triagem!$B:$B,$A12,Triagem!$Q:$Q,"SIM")/COUNTIFS(Triagem!$B:$B,$A12,Triagem!$Q:$Q,"SIM"),""))</f>
        <v/>
      </c>
    </row>
    <row r="13" customFormat="false" ht="15" hidden="false" customHeight="false" outlineLevel="0" collapsed="false">
      <c r="A13" s="29"/>
      <c r="B13" s="29"/>
      <c r="C13" s="29"/>
      <c r="D13" s="33"/>
      <c r="E13" s="30" t="str">
        <f aca="false">IF($A13="","",COUNTIFS(Triagem!$B:$B,$A13))</f>
        <v/>
      </c>
      <c r="F13" s="30" t="str">
        <f aca="false">IF($A13="","",COUNTIFS(Triagem!$B:$B,$A13,Triagem!$F:$F,"A"))</f>
        <v/>
      </c>
      <c r="G13" s="30" t="str">
        <f aca="false">IF($A13="","",COUNTIFS(Triagem!$B:$B,$A13,Triagem!$F:$F,"B"))</f>
        <v/>
      </c>
      <c r="H13" s="30" t="str">
        <f aca="false">IF($A13="","",COUNTIFS(Triagem!$B:$B,$A13,Triagem!$F:$F,"C"))</f>
        <v/>
      </c>
      <c r="I13" s="30" t="str">
        <f aca="false">IF($A13="","",COUNTIFS(Triagem!$B:$B,$A13,Triagem!$F:$F,"D"))</f>
        <v/>
      </c>
      <c r="J13" s="35" t="str">
        <f aca="false">IF($A13="","",Parametros!$C$6)</f>
        <v/>
      </c>
      <c r="K13" s="35" t="str">
        <f aca="false">IF($A13="","",$G13*Parametros!$C$7)</f>
        <v/>
      </c>
      <c r="L13" s="35" t="str">
        <f aca="false">IF($A13="","",SUMIFS(Triagem!$R:$R,Triagem!$B:$B,$A13))</f>
        <v/>
      </c>
      <c r="M13" s="35" t="str">
        <f aca="false">IF($A13="","",IF($C13="PJ",Parametros!$C$9,Parametros!$C$8))</f>
        <v/>
      </c>
      <c r="N13" s="35" t="str">
        <f aca="false">IF($A13="","",$J13+$K13+$L13)</f>
        <v/>
      </c>
      <c r="O13" s="31" t="str">
        <f aca="false">IF($A13="","",IFERROR(COUNTIFS(Triagem!$B:$B,$A13,Triagem!$M:$M,"VERIFICADO")/COUNTIFS(Triagem!$B:$B,$A13,Triagem!$Q:$Q,"SIM"),""))</f>
        <v/>
      </c>
      <c r="P13" s="31" t="str">
        <f aca="false">IF($A13="","",IFERROR(SUMIFS(Triagem!$I:$I,Triagem!$B:$B,$A13,Triagem!$Q:$Q,"SIM")/COUNTIFS(Triagem!$B:$B,$A13,Triagem!$Q:$Q,"SIM"),""))</f>
        <v/>
      </c>
    </row>
    <row r="14" customFormat="false" ht="15" hidden="false" customHeight="false" outlineLevel="0" collapsed="false">
      <c r="A14" s="29"/>
      <c r="B14" s="29"/>
      <c r="C14" s="29"/>
      <c r="D14" s="33"/>
      <c r="E14" s="30" t="str">
        <f aca="false">IF($A14="","",COUNTIFS(Triagem!$B:$B,$A14))</f>
        <v/>
      </c>
      <c r="F14" s="30" t="str">
        <f aca="false">IF($A14="","",COUNTIFS(Triagem!$B:$B,$A14,Triagem!$F:$F,"A"))</f>
        <v/>
      </c>
      <c r="G14" s="30" t="str">
        <f aca="false">IF($A14="","",COUNTIFS(Triagem!$B:$B,$A14,Triagem!$F:$F,"B"))</f>
        <v/>
      </c>
      <c r="H14" s="30" t="str">
        <f aca="false">IF($A14="","",COUNTIFS(Triagem!$B:$B,$A14,Triagem!$F:$F,"C"))</f>
        <v/>
      </c>
      <c r="I14" s="30" t="str">
        <f aca="false">IF($A14="","",COUNTIFS(Triagem!$B:$B,$A14,Triagem!$F:$F,"D"))</f>
        <v/>
      </c>
      <c r="J14" s="35" t="str">
        <f aca="false">IF($A14="","",Parametros!$C$6)</f>
        <v/>
      </c>
      <c r="K14" s="35" t="str">
        <f aca="false">IF($A14="","",$G14*Parametros!$C$7)</f>
        <v/>
      </c>
      <c r="L14" s="35" t="str">
        <f aca="false">IF($A14="","",SUMIFS(Triagem!$R:$R,Triagem!$B:$B,$A14))</f>
        <v/>
      </c>
      <c r="M14" s="35" t="str">
        <f aca="false">IF($A14="","",IF($C14="PJ",Parametros!$C$9,Parametros!$C$8))</f>
        <v/>
      </c>
      <c r="N14" s="35" t="str">
        <f aca="false">IF($A14="","",$J14+$K14+$L14)</f>
        <v/>
      </c>
      <c r="O14" s="31" t="str">
        <f aca="false">IF($A14="","",IFERROR(COUNTIFS(Triagem!$B:$B,$A14,Triagem!$M:$M,"VERIFICADO")/COUNTIFS(Triagem!$B:$B,$A14,Triagem!$Q:$Q,"SIM"),""))</f>
        <v/>
      </c>
      <c r="P14" s="31" t="str">
        <f aca="false">IF($A14="","",IFERROR(SUMIFS(Triagem!$I:$I,Triagem!$B:$B,$A14,Triagem!$Q:$Q,"SIM")/COUNTIFS(Triagem!$B:$B,$A14,Triagem!$Q:$Q,"SIM"),""))</f>
        <v/>
      </c>
    </row>
    <row r="15" customFormat="false" ht="15" hidden="false" customHeight="false" outlineLevel="0" collapsed="false">
      <c r="A15" s="29"/>
      <c r="B15" s="29"/>
      <c r="C15" s="29"/>
      <c r="D15" s="33"/>
      <c r="E15" s="30" t="str">
        <f aca="false">IF($A15="","",COUNTIFS(Triagem!$B:$B,$A15))</f>
        <v/>
      </c>
      <c r="F15" s="30" t="str">
        <f aca="false">IF($A15="","",COUNTIFS(Triagem!$B:$B,$A15,Triagem!$F:$F,"A"))</f>
        <v/>
      </c>
      <c r="G15" s="30" t="str">
        <f aca="false">IF($A15="","",COUNTIFS(Triagem!$B:$B,$A15,Triagem!$F:$F,"B"))</f>
        <v/>
      </c>
      <c r="H15" s="30" t="str">
        <f aca="false">IF($A15="","",COUNTIFS(Triagem!$B:$B,$A15,Triagem!$F:$F,"C"))</f>
        <v/>
      </c>
      <c r="I15" s="30" t="str">
        <f aca="false">IF($A15="","",COUNTIFS(Triagem!$B:$B,$A15,Triagem!$F:$F,"D"))</f>
        <v/>
      </c>
      <c r="J15" s="35" t="str">
        <f aca="false">IF($A15="","",Parametros!$C$6)</f>
        <v/>
      </c>
      <c r="K15" s="35" t="str">
        <f aca="false">IF($A15="","",$G15*Parametros!$C$7)</f>
        <v/>
      </c>
      <c r="L15" s="35" t="str">
        <f aca="false">IF($A15="","",SUMIFS(Triagem!$R:$R,Triagem!$B:$B,$A15))</f>
        <v/>
      </c>
      <c r="M15" s="35" t="str">
        <f aca="false">IF($A15="","",IF($C15="PJ",Parametros!$C$9,Parametros!$C$8))</f>
        <v/>
      </c>
      <c r="N15" s="35" t="str">
        <f aca="false">IF($A15="","",$J15+$K15+$L15)</f>
        <v/>
      </c>
      <c r="O15" s="31" t="str">
        <f aca="false">IF($A15="","",IFERROR(COUNTIFS(Triagem!$B:$B,$A15,Triagem!$M:$M,"VERIFICADO")/COUNTIFS(Triagem!$B:$B,$A15,Triagem!$Q:$Q,"SIM"),""))</f>
        <v/>
      </c>
      <c r="P15" s="31" t="str">
        <f aca="false">IF($A15="","",IFERROR(SUMIFS(Triagem!$I:$I,Triagem!$B:$B,$A15,Triagem!$Q:$Q,"SIM")/COUNTIFS(Triagem!$B:$B,$A15,Triagem!$Q:$Q,"SIM"),""))</f>
        <v/>
      </c>
    </row>
    <row r="16" customFormat="false" ht="15" hidden="false" customHeight="false" outlineLevel="0" collapsed="false">
      <c r="A16" s="29"/>
      <c r="B16" s="29"/>
      <c r="C16" s="29"/>
      <c r="D16" s="33"/>
      <c r="E16" s="30" t="str">
        <f aca="false">IF($A16="","",COUNTIFS(Triagem!$B:$B,$A16))</f>
        <v/>
      </c>
      <c r="F16" s="30" t="str">
        <f aca="false">IF($A16="","",COUNTIFS(Triagem!$B:$B,$A16,Triagem!$F:$F,"A"))</f>
        <v/>
      </c>
      <c r="G16" s="30" t="str">
        <f aca="false">IF($A16="","",COUNTIFS(Triagem!$B:$B,$A16,Triagem!$F:$F,"B"))</f>
        <v/>
      </c>
      <c r="H16" s="30" t="str">
        <f aca="false">IF($A16="","",COUNTIFS(Triagem!$B:$B,$A16,Triagem!$F:$F,"C"))</f>
        <v/>
      </c>
      <c r="I16" s="30" t="str">
        <f aca="false">IF($A16="","",COUNTIFS(Triagem!$B:$B,$A16,Triagem!$F:$F,"D"))</f>
        <v/>
      </c>
      <c r="J16" s="35" t="str">
        <f aca="false">IF($A16="","",Parametros!$C$6)</f>
        <v/>
      </c>
      <c r="K16" s="35" t="str">
        <f aca="false">IF($A16="","",$G16*Parametros!$C$7)</f>
        <v/>
      </c>
      <c r="L16" s="35" t="str">
        <f aca="false">IF($A16="","",SUMIFS(Triagem!$R:$R,Triagem!$B:$B,$A16))</f>
        <v/>
      </c>
      <c r="M16" s="35" t="str">
        <f aca="false">IF($A16="","",IF($C16="PJ",Parametros!$C$9,Parametros!$C$8))</f>
        <v/>
      </c>
      <c r="N16" s="35" t="str">
        <f aca="false">IF($A16="","",$J16+$K16+$L16)</f>
        <v/>
      </c>
      <c r="O16" s="31" t="str">
        <f aca="false">IF($A16="","",IFERROR(COUNTIFS(Triagem!$B:$B,$A16,Triagem!$M:$M,"VERIFICADO")/COUNTIFS(Triagem!$B:$B,$A16,Triagem!$Q:$Q,"SIM"),""))</f>
        <v/>
      </c>
      <c r="P16" s="31" t="str">
        <f aca="false">IF($A16="","",IFERROR(SUMIFS(Triagem!$I:$I,Triagem!$B:$B,$A16,Triagem!$Q:$Q,"SIM")/COUNTIFS(Triagem!$B:$B,$A16,Triagem!$Q:$Q,"SIM"),""))</f>
        <v/>
      </c>
    </row>
    <row r="17" customFormat="false" ht="15" hidden="false" customHeight="false" outlineLevel="0" collapsed="false">
      <c r="A17" s="29"/>
      <c r="B17" s="29"/>
      <c r="C17" s="29"/>
      <c r="D17" s="33"/>
      <c r="E17" s="30" t="str">
        <f aca="false">IF($A17="","",COUNTIFS(Triagem!$B:$B,$A17))</f>
        <v/>
      </c>
      <c r="F17" s="30" t="str">
        <f aca="false">IF($A17="","",COUNTIFS(Triagem!$B:$B,$A17,Triagem!$F:$F,"A"))</f>
        <v/>
      </c>
      <c r="G17" s="30" t="str">
        <f aca="false">IF($A17="","",COUNTIFS(Triagem!$B:$B,$A17,Triagem!$F:$F,"B"))</f>
        <v/>
      </c>
      <c r="H17" s="30" t="str">
        <f aca="false">IF($A17="","",COUNTIFS(Triagem!$B:$B,$A17,Triagem!$F:$F,"C"))</f>
        <v/>
      </c>
      <c r="I17" s="30" t="str">
        <f aca="false">IF($A17="","",COUNTIFS(Triagem!$B:$B,$A17,Triagem!$F:$F,"D"))</f>
        <v/>
      </c>
      <c r="J17" s="35" t="str">
        <f aca="false">IF($A17="","",Parametros!$C$6)</f>
        <v/>
      </c>
      <c r="K17" s="35" t="str">
        <f aca="false">IF($A17="","",$G17*Parametros!$C$7)</f>
        <v/>
      </c>
      <c r="L17" s="35" t="str">
        <f aca="false">IF($A17="","",SUMIFS(Triagem!$R:$R,Triagem!$B:$B,$A17))</f>
        <v/>
      </c>
      <c r="M17" s="35" t="str">
        <f aca="false">IF($A17="","",IF($C17="PJ",Parametros!$C$9,Parametros!$C$8))</f>
        <v/>
      </c>
      <c r="N17" s="35" t="str">
        <f aca="false">IF($A17="","",$J17+$K17+$L17)</f>
        <v/>
      </c>
      <c r="O17" s="31" t="str">
        <f aca="false">IF($A17="","",IFERROR(COUNTIFS(Triagem!$B:$B,$A17,Triagem!$M:$M,"VERIFICADO")/COUNTIFS(Triagem!$B:$B,$A17,Triagem!$Q:$Q,"SIM"),""))</f>
        <v/>
      </c>
      <c r="P17" s="31" t="str">
        <f aca="false">IF($A17="","",IFERROR(SUMIFS(Triagem!$I:$I,Triagem!$B:$B,$A17,Triagem!$Q:$Q,"SIM")/COUNTIFS(Triagem!$B:$B,$A17,Triagem!$Q:$Q,"SIM"),""))</f>
        <v/>
      </c>
    </row>
    <row r="18" customFormat="false" ht="15" hidden="false" customHeight="false" outlineLevel="0" collapsed="false">
      <c r="A18" s="29"/>
      <c r="B18" s="29"/>
      <c r="C18" s="29"/>
      <c r="D18" s="33"/>
      <c r="E18" s="30" t="str">
        <f aca="false">IF($A18="","",COUNTIFS(Triagem!$B:$B,$A18))</f>
        <v/>
      </c>
      <c r="F18" s="30" t="str">
        <f aca="false">IF($A18="","",COUNTIFS(Triagem!$B:$B,$A18,Triagem!$F:$F,"A"))</f>
        <v/>
      </c>
      <c r="G18" s="30" t="str">
        <f aca="false">IF($A18="","",COUNTIFS(Triagem!$B:$B,$A18,Triagem!$F:$F,"B"))</f>
        <v/>
      </c>
      <c r="H18" s="30" t="str">
        <f aca="false">IF($A18="","",COUNTIFS(Triagem!$B:$B,$A18,Triagem!$F:$F,"C"))</f>
        <v/>
      </c>
      <c r="I18" s="30" t="str">
        <f aca="false">IF($A18="","",COUNTIFS(Triagem!$B:$B,$A18,Triagem!$F:$F,"D"))</f>
        <v/>
      </c>
      <c r="J18" s="35" t="str">
        <f aca="false">IF($A18="","",Parametros!$C$6)</f>
        <v/>
      </c>
      <c r="K18" s="35" t="str">
        <f aca="false">IF($A18="","",$G18*Parametros!$C$7)</f>
        <v/>
      </c>
      <c r="L18" s="35" t="str">
        <f aca="false">IF($A18="","",SUMIFS(Triagem!$R:$R,Triagem!$B:$B,$A18))</f>
        <v/>
      </c>
      <c r="M18" s="35" t="str">
        <f aca="false">IF($A18="","",IF($C18="PJ",Parametros!$C$9,Parametros!$C$8))</f>
        <v/>
      </c>
      <c r="N18" s="35" t="str">
        <f aca="false">IF($A18="","",$J18+$K18+$L18)</f>
        <v/>
      </c>
      <c r="O18" s="31" t="str">
        <f aca="false">IF($A18="","",IFERROR(COUNTIFS(Triagem!$B:$B,$A18,Triagem!$M:$M,"VERIFICADO")/COUNTIFS(Triagem!$B:$B,$A18,Triagem!$Q:$Q,"SIM"),""))</f>
        <v/>
      </c>
      <c r="P18" s="31" t="str">
        <f aca="false">IF($A18="","",IFERROR(SUMIFS(Triagem!$I:$I,Triagem!$B:$B,$A18,Triagem!$Q:$Q,"SIM")/COUNTIFS(Triagem!$B:$B,$A18,Triagem!$Q:$Q,"SIM"),""))</f>
        <v/>
      </c>
    </row>
    <row r="19" customFormat="false" ht="15" hidden="false" customHeight="false" outlineLevel="0" collapsed="false">
      <c r="A19" s="29"/>
      <c r="B19" s="29"/>
      <c r="C19" s="29"/>
      <c r="D19" s="33"/>
      <c r="E19" s="30" t="str">
        <f aca="false">IF($A19="","",COUNTIFS(Triagem!$B:$B,$A19))</f>
        <v/>
      </c>
      <c r="F19" s="30" t="str">
        <f aca="false">IF($A19="","",COUNTIFS(Triagem!$B:$B,$A19,Triagem!$F:$F,"A"))</f>
        <v/>
      </c>
      <c r="G19" s="30" t="str">
        <f aca="false">IF($A19="","",COUNTIFS(Triagem!$B:$B,$A19,Triagem!$F:$F,"B"))</f>
        <v/>
      </c>
      <c r="H19" s="30" t="str">
        <f aca="false">IF($A19="","",COUNTIFS(Triagem!$B:$B,$A19,Triagem!$F:$F,"C"))</f>
        <v/>
      </c>
      <c r="I19" s="30" t="str">
        <f aca="false">IF($A19="","",COUNTIFS(Triagem!$B:$B,$A19,Triagem!$F:$F,"D"))</f>
        <v/>
      </c>
      <c r="J19" s="35" t="str">
        <f aca="false">IF($A19="","",Parametros!$C$6)</f>
        <v/>
      </c>
      <c r="K19" s="35" t="str">
        <f aca="false">IF($A19="","",$G19*Parametros!$C$7)</f>
        <v/>
      </c>
      <c r="L19" s="35" t="str">
        <f aca="false">IF($A19="","",SUMIFS(Triagem!$R:$R,Triagem!$B:$B,$A19))</f>
        <v/>
      </c>
      <c r="M19" s="35" t="str">
        <f aca="false">IF($A19="","",IF($C19="PJ",Parametros!$C$9,Parametros!$C$8))</f>
        <v/>
      </c>
      <c r="N19" s="35" t="str">
        <f aca="false">IF($A19="","",$J19+$K19+$L19)</f>
        <v/>
      </c>
      <c r="O19" s="31" t="str">
        <f aca="false">IF($A19="","",IFERROR(COUNTIFS(Triagem!$B:$B,$A19,Triagem!$M:$M,"VERIFICADO")/COUNTIFS(Triagem!$B:$B,$A19,Triagem!$Q:$Q,"SIM"),""))</f>
        <v/>
      </c>
      <c r="P19" s="31" t="str">
        <f aca="false">IF($A19="","",IFERROR(SUMIFS(Triagem!$I:$I,Triagem!$B:$B,$A19,Triagem!$Q:$Q,"SIM")/COUNTIFS(Triagem!$B:$B,$A19,Triagem!$Q:$Q,"SIM"),""))</f>
        <v/>
      </c>
    </row>
    <row r="20" customFormat="false" ht="15" hidden="false" customHeight="false" outlineLevel="0" collapsed="false">
      <c r="A20" s="29"/>
      <c r="B20" s="29"/>
      <c r="C20" s="29"/>
      <c r="D20" s="33"/>
      <c r="E20" s="30" t="str">
        <f aca="false">IF($A20="","",COUNTIFS(Triagem!$B:$B,$A20))</f>
        <v/>
      </c>
      <c r="F20" s="30" t="str">
        <f aca="false">IF($A20="","",COUNTIFS(Triagem!$B:$B,$A20,Triagem!$F:$F,"A"))</f>
        <v/>
      </c>
      <c r="G20" s="30" t="str">
        <f aca="false">IF($A20="","",COUNTIFS(Triagem!$B:$B,$A20,Triagem!$F:$F,"B"))</f>
        <v/>
      </c>
      <c r="H20" s="30" t="str">
        <f aca="false">IF($A20="","",COUNTIFS(Triagem!$B:$B,$A20,Triagem!$F:$F,"C"))</f>
        <v/>
      </c>
      <c r="I20" s="30" t="str">
        <f aca="false">IF($A20="","",COUNTIFS(Triagem!$B:$B,$A20,Triagem!$F:$F,"D"))</f>
        <v/>
      </c>
      <c r="J20" s="35" t="str">
        <f aca="false">IF($A20="","",Parametros!$C$6)</f>
        <v/>
      </c>
      <c r="K20" s="35" t="str">
        <f aca="false">IF($A20="","",$G20*Parametros!$C$7)</f>
        <v/>
      </c>
      <c r="L20" s="35" t="str">
        <f aca="false">IF($A20="","",SUMIFS(Triagem!$R:$R,Triagem!$B:$B,$A20))</f>
        <v/>
      </c>
      <c r="M20" s="35" t="str">
        <f aca="false">IF($A20="","",IF($C20="PJ",Parametros!$C$9,Parametros!$C$8))</f>
        <v/>
      </c>
      <c r="N20" s="35" t="str">
        <f aca="false">IF($A20="","",$J20+$K20+$L20)</f>
        <v/>
      </c>
      <c r="O20" s="31" t="str">
        <f aca="false">IF($A20="","",IFERROR(COUNTIFS(Triagem!$B:$B,$A20,Triagem!$M:$M,"VERIFICADO")/COUNTIFS(Triagem!$B:$B,$A20,Triagem!$Q:$Q,"SIM"),""))</f>
        <v/>
      </c>
      <c r="P20" s="31" t="str">
        <f aca="false">IF($A20="","",IFERROR(SUMIFS(Triagem!$I:$I,Triagem!$B:$B,$A20,Triagem!$Q:$Q,"SIM")/COUNTIFS(Triagem!$B:$B,$A20,Triagem!$Q:$Q,"SIM"),""))</f>
        <v/>
      </c>
    </row>
    <row r="21" customFormat="false" ht="15" hidden="false" customHeight="false" outlineLevel="0" collapsed="false">
      <c r="A21" s="29"/>
      <c r="B21" s="29"/>
      <c r="C21" s="29"/>
      <c r="D21" s="33"/>
      <c r="E21" s="30" t="str">
        <f aca="false">IF($A21="","",COUNTIFS(Triagem!$B:$B,$A21))</f>
        <v/>
      </c>
      <c r="F21" s="30" t="str">
        <f aca="false">IF($A21="","",COUNTIFS(Triagem!$B:$B,$A21,Triagem!$F:$F,"A"))</f>
        <v/>
      </c>
      <c r="G21" s="30" t="str">
        <f aca="false">IF($A21="","",COUNTIFS(Triagem!$B:$B,$A21,Triagem!$F:$F,"B"))</f>
        <v/>
      </c>
      <c r="H21" s="30" t="str">
        <f aca="false">IF($A21="","",COUNTIFS(Triagem!$B:$B,$A21,Triagem!$F:$F,"C"))</f>
        <v/>
      </c>
      <c r="I21" s="30" t="str">
        <f aca="false">IF($A21="","",COUNTIFS(Triagem!$B:$B,$A21,Triagem!$F:$F,"D"))</f>
        <v/>
      </c>
      <c r="J21" s="35" t="str">
        <f aca="false">IF($A21="","",Parametros!$C$6)</f>
        <v/>
      </c>
      <c r="K21" s="35" t="str">
        <f aca="false">IF($A21="","",$G21*Parametros!$C$7)</f>
        <v/>
      </c>
      <c r="L21" s="35" t="str">
        <f aca="false">IF($A21="","",SUMIFS(Triagem!$R:$R,Triagem!$B:$B,$A21))</f>
        <v/>
      </c>
      <c r="M21" s="35" t="str">
        <f aca="false">IF($A21="","",IF($C21="PJ",Parametros!$C$9,Parametros!$C$8))</f>
        <v/>
      </c>
      <c r="N21" s="35" t="str">
        <f aca="false">IF($A21="","",$J21+$K21+$L21)</f>
        <v/>
      </c>
      <c r="O21" s="31" t="str">
        <f aca="false">IF($A21="","",IFERROR(COUNTIFS(Triagem!$B:$B,$A21,Triagem!$M:$M,"VERIFICADO")/COUNTIFS(Triagem!$B:$B,$A21,Triagem!$Q:$Q,"SIM"),""))</f>
        <v/>
      </c>
      <c r="P21" s="31" t="str">
        <f aca="false">IF($A21="","",IFERROR(SUMIFS(Triagem!$I:$I,Triagem!$B:$B,$A21,Triagem!$Q:$Q,"SIM")/COUNTIFS(Triagem!$B:$B,$A21,Triagem!$Q:$Q,"SIM"),""))</f>
        <v/>
      </c>
    </row>
    <row r="22" customFormat="false" ht="15" hidden="false" customHeight="false" outlineLevel="0" collapsed="false">
      <c r="A22" s="29"/>
      <c r="B22" s="29"/>
      <c r="C22" s="29"/>
      <c r="D22" s="33"/>
      <c r="E22" s="30" t="str">
        <f aca="false">IF($A22="","",COUNTIFS(Triagem!$B:$B,$A22))</f>
        <v/>
      </c>
      <c r="F22" s="30" t="str">
        <f aca="false">IF($A22="","",COUNTIFS(Triagem!$B:$B,$A22,Triagem!$F:$F,"A"))</f>
        <v/>
      </c>
      <c r="G22" s="30" t="str">
        <f aca="false">IF($A22="","",COUNTIFS(Triagem!$B:$B,$A22,Triagem!$F:$F,"B"))</f>
        <v/>
      </c>
      <c r="H22" s="30" t="str">
        <f aca="false">IF($A22="","",COUNTIFS(Triagem!$B:$B,$A22,Triagem!$F:$F,"C"))</f>
        <v/>
      </c>
      <c r="I22" s="30" t="str">
        <f aca="false">IF($A22="","",COUNTIFS(Triagem!$B:$B,$A22,Triagem!$F:$F,"D"))</f>
        <v/>
      </c>
      <c r="J22" s="35" t="str">
        <f aca="false">IF($A22="","",Parametros!$C$6)</f>
        <v/>
      </c>
      <c r="K22" s="35" t="str">
        <f aca="false">IF($A22="","",$G22*Parametros!$C$7)</f>
        <v/>
      </c>
      <c r="L22" s="35" t="str">
        <f aca="false">IF($A22="","",SUMIFS(Triagem!$R:$R,Triagem!$B:$B,$A22))</f>
        <v/>
      </c>
      <c r="M22" s="35" t="str">
        <f aca="false">IF($A22="","",IF($C22="PJ",Parametros!$C$9,Parametros!$C$8))</f>
        <v/>
      </c>
      <c r="N22" s="35" t="str">
        <f aca="false">IF($A22="","",$J22+$K22+$L22)</f>
        <v/>
      </c>
      <c r="O22" s="31" t="str">
        <f aca="false">IF($A22="","",IFERROR(COUNTIFS(Triagem!$B:$B,$A22,Triagem!$M:$M,"VERIFICADO")/COUNTIFS(Triagem!$B:$B,$A22,Triagem!$Q:$Q,"SIM"),""))</f>
        <v/>
      </c>
      <c r="P22" s="31" t="str">
        <f aca="false">IF($A22="","",IFERROR(SUMIFS(Triagem!$I:$I,Triagem!$B:$B,$A22,Triagem!$Q:$Q,"SIM")/COUNTIFS(Triagem!$B:$B,$A22,Triagem!$Q:$Q,"SIM"),""))</f>
        <v/>
      </c>
    </row>
    <row r="23" customFormat="false" ht="15" hidden="false" customHeight="false" outlineLevel="0" collapsed="false">
      <c r="A23" s="29"/>
      <c r="B23" s="29"/>
      <c r="C23" s="29"/>
      <c r="D23" s="33"/>
      <c r="E23" s="30" t="str">
        <f aca="false">IF($A23="","",COUNTIFS(Triagem!$B:$B,$A23))</f>
        <v/>
      </c>
      <c r="F23" s="30" t="str">
        <f aca="false">IF($A23="","",COUNTIFS(Triagem!$B:$B,$A23,Triagem!$F:$F,"A"))</f>
        <v/>
      </c>
      <c r="G23" s="30" t="str">
        <f aca="false">IF($A23="","",COUNTIFS(Triagem!$B:$B,$A23,Triagem!$F:$F,"B"))</f>
        <v/>
      </c>
      <c r="H23" s="30" t="str">
        <f aca="false">IF($A23="","",COUNTIFS(Triagem!$B:$B,$A23,Triagem!$F:$F,"C"))</f>
        <v/>
      </c>
      <c r="I23" s="30" t="str">
        <f aca="false">IF($A23="","",COUNTIFS(Triagem!$B:$B,$A23,Triagem!$F:$F,"D"))</f>
        <v/>
      </c>
      <c r="J23" s="35" t="str">
        <f aca="false">IF($A23="","",Parametros!$C$6)</f>
        <v/>
      </c>
      <c r="K23" s="35" t="str">
        <f aca="false">IF($A23="","",$G23*Parametros!$C$7)</f>
        <v/>
      </c>
      <c r="L23" s="35" t="str">
        <f aca="false">IF($A23="","",SUMIFS(Triagem!$R:$R,Triagem!$B:$B,$A23))</f>
        <v/>
      </c>
      <c r="M23" s="35" t="str">
        <f aca="false">IF($A23="","",IF($C23="PJ",Parametros!$C$9,Parametros!$C$8))</f>
        <v/>
      </c>
      <c r="N23" s="35" t="str">
        <f aca="false">IF($A23="","",$J23+$K23+$L23)</f>
        <v/>
      </c>
      <c r="O23" s="31" t="str">
        <f aca="false">IF($A23="","",IFERROR(COUNTIFS(Triagem!$B:$B,$A23,Triagem!$M:$M,"VERIFICADO")/COUNTIFS(Triagem!$B:$B,$A23,Triagem!$Q:$Q,"SIM"),""))</f>
        <v/>
      </c>
      <c r="P23" s="31" t="str">
        <f aca="false">IF($A23="","",IFERROR(SUMIFS(Triagem!$I:$I,Triagem!$B:$B,$A23,Triagem!$Q:$Q,"SIM")/COUNTIFS(Triagem!$B:$B,$A23,Triagem!$Q:$Q,"SIM"),""))</f>
        <v/>
      </c>
    </row>
    <row r="24" customFormat="false" ht="15" hidden="false" customHeight="false" outlineLevel="0" collapsed="false">
      <c r="A24" s="29"/>
      <c r="B24" s="29"/>
      <c r="C24" s="29"/>
      <c r="D24" s="33"/>
      <c r="E24" s="30" t="str">
        <f aca="false">IF($A24="","",COUNTIFS(Triagem!$B:$B,$A24))</f>
        <v/>
      </c>
      <c r="F24" s="30" t="str">
        <f aca="false">IF($A24="","",COUNTIFS(Triagem!$B:$B,$A24,Triagem!$F:$F,"A"))</f>
        <v/>
      </c>
      <c r="G24" s="30" t="str">
        <f aca="false">IF($A24="","",COUNTIFS(Triagem!$B:$B,$A24,Triagem!$F:$F,"B"))</f>
        <v/>
      </c>
      <c r="H24" s="30" t="str">
        <f aca="false">IF($A24="","",COUNTIFS(Triagem!$B:$B,$A24,Triagem!$F:$F,"C"))</f>
        <v/>
      </c>
      <c r="I24" s="30" t="str">
        <f aca="false">IF($A24="","",COUNTIFS(Triagem!$B:$B,$A24,Triagem!$F:$F,"D"))</f>
        <v/>
      </c>
      <c r="J24" s="35" t="str">
        <f aca="false">IF($A24="","",Parametros!$C$6)</f>
        <v/>
      </c>
      <c r="K24" s="35" t="str">
        <f aca="false">IF($A24="","",$G24*Parametros!$C$7)</f>
        <v/>
      </c>
      <c r="L24" s="35" t="str">
        <f aca="false">IF($A24="","",SUMIFS(Triagem!$R:$R,Triagem!$B:$B,$A24))</f>
        <v/>
      </c>
      <c r="M24" s="35" t="str">
        <f aca="false">IF($A24="","",IF($C24="PJ",Parametros!$C$9,Parametros!$C$8))</f>
        <v/>
      </c>
      <c r="N24" s="35" t="str">
        <f aca="false">IF($A24="","",$J24+$K24+$L24)</f>
        <v/>
      </c>
      <c r="O24" s="31" t="str">
        <f aca="false">IF($A24="","",IFERROR(COUNTIFS(Triagem!$B:$B,$A24,Triagem!$M:$M,"VERIFICADO")/COUNTIFS(Triagem!$B:$B,$A24,Triagem!$Q:$Q,"SIM"),""))</f>
        <v/>
      </c>
      <c r="P24" s="31" t="str">
        <f aca="false">IF($A24="","",IFERROR(SUMIFS(Triagem!$I:$I,Triagem!$B:$B,$A24,Triagem!$Q:$Q,"SIM")/COUNTIFS(Triagem!$B:$B,$A24,Triagem!$Q:$Q,"SIM"),""))</f>
        <v/>
      </c>
    </row>
    <row r="25" customFormat="false" ht="15" hidden="false" customHeight="false" outlineLevel="0" collapsed="false">
      <c r="A25" s="29"/>
      <c r="B25" s="29"/>
      <c r="C25" s="29"/>
      <c r="D25" s="33"/>
      <c r="E25" s="30" t="str">
        <f aca="false">IF($A25="","",COUNTIFS(Triagem!$B:$B,$A25))</f>
        <v/>
      </c>
      <c r="F25" s="30" t="str">
        <f aca="false">IF($A25="","",COUNTIFS(Triagem!$B:$B,$A25,Triagem!$F:$F,"A"))</f>
        <v/>
      </c>
      <c r="G25" s="30" t="str">
        <f aca="false">IF($A25="","",COUNTIFS(Triagem!$B:$B,$A25,Triagem!$F:$F,"B"))</f>
        <v/>
      </c>
      <c r="H25" s="30" t="str">
        <f aca="false">IF($A25="","",COUNTIFS(Triagem!$B:$B,$A25,Triagem!$F:$F,"C"))</f>
        <v/>
      </c>
      <c r="I25" s="30" t="str">
        <f aca="false">IF($A25="","",COUNTIFS(Triagem!$B:$B,$A25,Triagem!$F:$F,"D"))</f>
        <v/>
      </c>
      <c r="J25" s="35" t="str">
        <f aca="false">IF($A25="","",Parametros!$C$6)</f>
        <v/>
      </c>
      <c r="K25" s="35" t="str">
        <f aca="false">IF($A25="","",$G25*Parametros!$C$7)</f>
        <v/>
      </c>
      <c r="L25" s="35" t="str">
        <f aca="false">IF($A25="","",SUMIFS(Triagem!$R:$R,Triagem!$B:$B,$A25))</f>
        <v/>
      </c>
      <c r="M25" s="35" t="str">
        <f aca="false">IF($A25="","",IF($C25="PJ",Parametros!$C$9,Parametros!$C$8))</f>
        <v/>
      </c>
      <c r="N25" s="35" t="str">
        <f aca="false">IF($A25="","",$J25+$K25+$L25)</f>
        <v/>
      </c>
      <c r="O25" s="31" t="str">
        <f aca="false">IF($A25="","",IFERROR(COUNTIFS(Triagem!$B:$B,$A25,Triagem!$M:$M,"VERIFICADO")/COUNTIFS(Triagem!$B:$B,$A25,Triagem!$Q:$Q,"SIM"),""))</f>
        <v/>
      </c>
      <c r="P25" s="31" t="str">
        <f aca="false">IF($A25="","",IFERROR(SUMIFS(Triagem!$I:$I,Triagem!$B:$B,$A25,Triagem!$Q:$Q,"SIM")/COUNTIFS(Triagem!$B:$B,$A25,Triagem!$Q:$Q,"SIM"),""))</f>
        <v/>
      </c>
    </row>
    <row r="26" customFormat="false" ht="15" hidden="false" customHeight="false" outlineLevel="0" collapsed="false">
      <c r="A26" s="29"/>
      <c r="B26" s="29"/>
      <c r="C26" s="29"/>
      <c r="D26" s="33"/>
      <c r="E26" s="30" t="str">
        <f aca="false">IF($A26="","",COUNTIFS(Triagem!$B:$B,$A26))</f>
        <v/>
      </c>
      <c r="F26" s="30" t="str">
        <f aca="false">IF($A26="","",COUNTIFS(Triagem!$B:$B,$A26,Triagem!$F:$F,"A"))</f>
        <v/>
      </c>
      <c r="G26" s="30" t="str">
        <f aca="false">IF($A26="","",COUNTIFS(Triagem!$B:$B,$A26,Triagem!$F:$F,"B"))</f>
        <v/>
      </c>
      <c r="H26" s="30" t="str">
        <f aca="false">IF($A26="","",COUNTIFS(Triagem!$B:$B,$A26,Triagem!$F:$F,"C"))</f>
        <v/>
      </c>
      <c r="I26" s="30" t="str">
        <f aca="false">IF($A26="","",COUNTIFS(Triagem!$B:$B,$A26,Triagem!$F:$F,"D"))</f>
        <v/>
      </c>
      <c r="J26" s="35" t="str">
        <f aca="false">IF($A26="","",Parametros!$C$6)</f>
        <v/>
      </c>
      <c r="K26" s="35" t="str">
        <f aca="false">IF($A26="","",$G26*Parametros!$C$7)</f>
        <v/>
      </c>
      <c r="L26" s="35" t="str">
        <f aca="false">IF($A26="","",SUMIFS(Triagem!$R:$R,Triagem!$B:$B,$A26))</f>
        <v/>
      </c>
      <c r="M26" s="35" t="str">
        <f aca="false">IF($A26="","",IF($C26="PJ",Parametros!$C$9,Parametros!$C$8))</f>
        <v/>
      </c>
      <c r="N26" s="35" t="str">
        <f aca="false">IF($A26="","",$J26+$K26+$L26)</f>
        <v/>
      </c>
      <c r="O26" s="31" t="str">
        <f aca="false">IF($A26="","",IFERROR(COUNTIFS(Triagem!$B:$B,$A26,Triagem!$M:$M,"VERIFICADO")/COUNTIFS(Triagem!$B:$B,$A26,Triagem!$Q:$Q,"SIM"),""))</f>
        <v/>
      </c>
      <c r="P26" s="31" t="str">
        <f aca="false">IF($A26="","",IFERROR(SUMIFS(Triagem!$I:$I,Triagem!$B:$B,$A26,Triagem!$Q:$Q,"SIM")/COUNTIFS(Triagem!$B:$B,$A26,Triagem!$Q:$Q,"SIM"),""))</f>
        <v/>
      </c>
    </row>
    <row r="27" customFormat="false" ht="15" hidden="false" customHeight="false" outlineLevel="0" collapsed="false">
      <c r="A27" s="29"/>
      <c r="B27" s="29"/>
      <c r="C27" s="29"/>
      <c r="D27" s="33"/>
      <c r="E27" s="30" t="str">
        <f aca="false">IF($A27="","",COUNTIFS(Triagem!$B:$B,$A27))</f>
        <v/>
      </c>
      <c r="F27" s="30" t="str">
        <f aca="false">IF($A27="","",COUNTIFS(Triagem!$B:$B,$A27,Triagem!$F:$F,"A"))</f>
        <v/>
      </c>
      <c r="G27" s="30" t="str">
        <f aca="false">IF($A27="","",COUNTIFS(Triagem!$B:$B,$A27,Triagem!$F:$F,"B"))</f>
        <v/>
      </c>
      <c r="H27" s="30" t="str">
        <f aca="false">IF($A27="","",COUNTIFS(Triagem!$B:$B,$A27,Triagem!$F:$F,"C"))</f>
        <v/>
      </c>
      <c r="I27" s="30" t="str">
        <f aca="false">IF($A27="","",COUNTIFS(Triagem!$B:$B,$A27,Triagem!$F:$F,"D"))</f>
        <v/>
      </c>
      <c r="J27" s="35" t="str">
        <f aca="false">IF($A27="","",Parametros!$C$6)</f>
        <v/>
      </c>
      <c r="K27" s="35" t="str">
        <f aca="false">IF($A27="","",$G27*Parametros!$C$7)</f>
        <v/>
      </c>
      <c r="L27" s="35" t="str">
        <f aca="false">IF($A27="","",SUMIFS(Triagem!$R:$R,Triagem!$B:$B,$A27))</f>
        <v/>
      </c>
      <c r="M27" s="35" t="str">
        <f aca="false">IF($A27="","",IF($C27="PJ",Parametros!$C$9,Parametros!$C$8))</f>
        <v/>
      </c>
      <c r="N27" s="35" t="str">
        <f aca="false">IF($A27="","",$J27+$K27+$L27)</f>
        <v/>
      </c>
      <c r="O27" s="31" t="str">
        <f aca="false">IF($A27="","",IFERROR(COUNTIFS(Triagem!$B:$B,$A27,Triagem!$M:$M,"VERIFICADO")/COUNTIFS(Triagem!$B:$B,$A27,Triagem!$Q:$Q,"SIM"),""))</f>
        <v/>
      </c>
      <c r="P27" s="31" t="str">
        <f aca="false">IF($A27="","",IFERROR(SUMIFS(Triagem!$I:$I,Triagem!$B:$B,$A27,Triagem!$Q:$Q,"SIM")/COUNTIFS(Triagem!$B:$B,$A27,Triagem!$Q:$Q,"SIM"),""))</f>
        <v/>
      </c>
    </row>
    <row r="28" customFormat="false" ht="15" hidden="false" customHeight="false" outlineLevel="0" collapsed="false">
      <c r="A28" s="29"/>
      <c r="B28" s="29"/>
      <c r="C28" s="29"/>
      <c r="D28" s="33"/>
      <c r="E28" s="30" t="str">
        <f aca="false">IF($A28="","",COUNTIFS(Triagem!$B:$B,$A28))</f>
        <v/>
      </c>
      <c r="F28" s="30" t="str">
        <f aca="false">IF($A28="","",COUNTIFS(Triagem!$B:$B,$A28,Triagem!$F:$F,"A"))</f>
        <v/>
      </c>
      <c r="G28" s="30" t="str">
        <f aca="false">IF($A28="","",COUNTIFS(Triagem!$B:$B,$A28,Triagem!$F:$F,"B"))</f>
        <v/>
      </c>
      <c r="H28" s="30" t="str">
        <f aca="false">IF($A28="","",COUNTIFS(Triagem!$B:$B,$A28,Triagem!$F:$F,"C"))</f>
        <v/>
      </c>
      <c r="I28" s="30" t="str">
        <f aca="false">IF($A28="","",COUNTIFS(Triagem!$B:$B,$A28,Triagem!$F:$F,"D"))</f>
        <v/>
      </c>
      <c r="J28" s="35" t="str">
        <f aca="false">IF($A28="","",Parametros!$C$6)</f>
        <v/>
      </c>
      <c r="K28" s="35" t="str">
        <f aca="false">IF($A28="","",$G28*Parametros!$C$7)</f>
        <v/>
      </c>
      <c r="L28" s="35" t="str">
        <f aca="false">IF($A28="","",SUMIFS(Triagem!$R:$R,Triagem!$B:$B,$A28))</f>
        <v/>
      </c>
      <c r="M28" s="35" t="str">
        <f aca="false">IF($A28="","",IF($C28="PJ",Parametros!$C$9,Parametros!$C$8))</f>
        <v/>
      </c>
      <c r="N28" s="35" t="str">
        <f aca="false">IF($A28="","",$J28+$K28+$L28)</f>
        <v/>
      </c>
      <c r="O28" s="31" t="str">
        <f aca="false">IF($A28="","",IFERROR(COUNTIFS(Triagem!$B:$B,$A28,Triagem!$M:$M,"VERIFICADO")/COUNTIFS(Triagem!$B:$B,$A28,Triagem!$Q:$Q,"SIM"),""))</f>
        <v/>
      </c>
      <c r="P28" s="31" t="str">
        <f aca="false">IF($A28="","",IFERROR(SUMIFS(Triagem!$I:$I,Triagem!$B:$B,$A28,Triagem!$Q:$Q,"SIM")/COUNTIFS(Triagem!$B:$B,$A28,Triagem!$Q:$Q,"SIM"),""))</f>
        <v/>
      </c>
    </row>
    <row r="29" customFormat="false" ht="15" hidden="false" customHeight="false" outlineLevel="0" collapsed="false">
      <c r="A29" s="29"/>
      <c r="B29" s="29"/>
      <c r="C29" s="29"/>
      <c r="D29" s="33"/>
      <c r="E29" s="30" t="str">
        <f aca="false">IF($A29="","",COUNTIFS(Triagem!$B:$B,$A29))</f>
        <v/>
      </c>
      <c r="F29" s="30" t="str">
        <f aca="false">IF($A29="","",COUNTIFS(Triagem!$B:$B,$A29,Triagem!$F:$F,"A"))</f>
        <v/>
      </c>
      <c r="G29" s="30" t="str">
        <f aca="false">IF($A29="","",COUNTIFS(Triagem!$B:$B,$A29,Triagem!$F:$F,"B"))</f>
        <v/>
      </c>
      <c r="H29" s="30" t="str">
        <f aca="false">IF($A29="","",COUNTIFS(Triagem!$B:$B,$A29,Triagem!$F:$F,"C"))</f>
        <v/>
      </c>
      <c r="I29" s="30" t="str">
        <f aca="false">IF($A29="","",COUNTIFS(Triagem!$B:$B,$A29,Triagem!$F:$F,"D"))</f>
        <v/>
      </c>
      <c r="J29" s="35" t="str">
        <f aca="false">IF($A29="","",Parametros!$C$6)</f>
        <v/>
      </c>
      <c r="K29" s="35" t="str">
        <f aca="false">IF($A29="","",$G29*Parametros!$C$7)</f>
        <v/>
      </c>
      <c r="L29" s="35" t="str">
        <f aca="false">IF($A29="","",SUMIFS(Triagem!$R:$R,Triagem!$B:$B,$A29))</f>
        <v/>
      </c>
      <c r="M29" s="35" t="str">
        <f aca="false">IF($A29="","",IF($C29="PJ",Parametros!$C$9,Parametros!$C$8))</f>
        <v/>
      </c>
      <c r="N29" s="35" t="str">
        <f aca="false">IF($A29="","",$J29+$K29+$L29)</f>
        <v/>
      </c>
      <c r="O29" s="31" t="str">
        <f aca="false">IF($A29="","",IFERROR(COUNTIFS(Triagem!$B:$B,$A29,Triagem!$M:$M,"VERIFICADO")/COUNTIFS(Triagem!$B:$B,$A29,Triagem!$Q:$Q,"SIM"),""))</f>
        <v/>
      </c>
      <c r="P29" s="31" t="str">
        <f aca="false">IF($A29="","",IFERROR(SUMIFS(Triagem!$I:$I,Triagem!$B:$B,$A29,Triagem!$Q:$Q,"SIM")/COUNTIFS(Triagem!$B:$B,$A29,Triagem!$Q:$Q,"SIM"),""))</f>
        <v/>
      </c>
    </row>
    <row r="30" customFormat="false" ht="15" hidden="false" customHeight="false" outlineLevel="0" collapsed="false">
      <c r="A30" s="29"/>
      <c r="B30" s="29"/>
      <c r="C30" s="29"/>
      <c r="D30" s="33"/>
      <c r="E30" s="30" t="str">
        <f aca="false">IF($A30="","",COUNTIFS(Triagem!$B:$B,$A30))</f>
        <v/>
      </c>
      <c r="F30" s="30" t="str">
        <f aca="false">IF($A30="","",COUNTIFS(Triagem!$B:$B,$A30,Triagem!$F:$F,"A"))</f>
        <v/>
      </c>
      <c r="G30" s="30" t="str">
        <f aca="false">IF($A30="","",COUNTIFS(Triagem!$B:$B,$A30,Triagem!$F:$F,"B"))</f>
        <v/>
      </c>
      <c r="H30" s="30" t="str">
        <f aca="false">IF($A30="","",COUNTIFS(Triagem!$B:$B,$A30,Triagem!$F:$F,"C"))</f>
        <v/>
      </c>
      <c r="I30" s="30" t="str">
        <f aca="false">IF($A30="","",COUNTIFS(Triagem!$B:$B,$A30,Triagem!$F:$F,"D"))</f>
        <v/>
      </c>
      <c r="J30" s="35" t="str">
        <f aca="false">IF($A30="","",Parametros!$C$6)</f>
        <v/>
      </c>
      <c r="K30" s="35" t="str">
        <f aca="false">IF($A30="","",$G30*Parametros!$C$7)</f>
        <v/>
      </c>
      <c r="L30" s="35" t="str">
        <f aca="false">IF($A30="","",SUMIFS(Triagem!$R:$R,Triagem!$B:$B,$A30))</f>
        <v/>
      </c>
      <c r="M30" s="35" t="str">
        <f aca="false">IF($A30="","",IF($C30="PJ",Parametros!$C$9,Parametros!$C$8))</f>
        <v/>
      </c>
      <c r="N30" s="35" t="str">
        <f aca="false">IF($A30="","",$J30+$K30+$L30)</f>
        <v/>
      </c>
      <c r="O30" s="31" t="str">
        <f aca="false">IF($A30="","",IFERROR(COUNTIFS(Triagem!$B:$B,$A30,Triagem!$M:$M,"VERIFICADO")/COUNTIFS(Triagem!$B:$B,$A30,Triagem!$Q:$Q,"SIM"),""))</f>
        <v/>
      </c>
      <c r="P30" s="31" t="str">
        <f aca="false">IF($A30="","",IFERROR(SUMIFS(Triagem!$I:$I,Triagem!$B:$B,$A30,Triagem!$Q:$Q,"SIM")/COUNTIFS(Triagem!$B:$B,$A30,Triagem!$Q:$Q,"SIM"),""))</f>
        <v/>
      </c>
    </row>
    <row r="31" customFormat="false" ht="15" hidden="false" customHeight="false" outlineLevel="0" collapsed="false">
      <c r="A31" s="29"/>
      <c r="B31" s="29"/>
      <c r="C31" s="29"/>
      <c r="D31" s="33"/>
      <c r="E31" s="30" t="str">
        <f aca="false">IF($A31="","",COUNTIFS(Triagem!$B:$B,$A31))</f>
        <v/>
      </c>
      <c r="F31" s="30" t="str">
        <f aca="false">IF($A31="","",COUNTIFS(Triagem!$B:$B,$A31,Triagem!$F:$F,"A"))</f>
        <v/>
      </c>
      <c r="G31" s="30" t="str">
        <f aca="false">IF($A31="","",COUNTIFS(Triagem!$B:$B,$A31,Triagem!$F:$F,"B"))</f>
        <v/>
      </c>
      <c r="H31" s="30" t="str">
        <f aca="false">IF($A31="","",COUNTIFS(Triagem!$B:$B,$A31,Triagem!$F:$F,"C"))</f>
        <v/>
      </c>
      <c r="I31" s="30" t="str">
        <f aca="false">IF($A31="","",COUNTIFS(Triagem!$B:$B,$A31,Triagem!$F:$F,"D"))</f>
        <v/>
      </c>
      <c r="J31" s="35" t="str">
        <f aca="false">IF($A31="","",Parametros!$C$6)</f>
        <v/>
      </c>
      <c r="K31" s="35" t="str">
        <f aca="false">IF($A31="","",$G31*Parametros!$C$7)</f>
        <v/>
      </c>
      <c r="L31" s="35" t="str">
        <f aca="false">IF($A31="","",SUMIFS(Triagem!$R:$R,Triagem!$B:$B,$A31))</f>
        <v/>
      </c>
      <c r="M31" s="35" t="str">
        <f aca="false">IF($A31="","",IF($C31="PJ",Parametros!$C$9,Parametros!$C$8))</f>
        <v/>
      </c>
      <c r="N31" s="35" t="str">
        <f aca="false">IF($A31="","",$J31+$K31+$L31)</f>
        <v/>
      </c>
      <c r="O31" s="31" t="str">
        <f aca="false">IF($A31="","",IFERROR(COUNTIFS(Triagem!$B:$B,$A31,Triagem!$M:$M,"VERIFICADO")/COUNTIFS(Triagem!$B:$B,$A31,Triagem!$Q:$Q,"SIM"),""))</f>
        <v/>
      </c>
      <c r="P31" s="31" t="str">
        <f aca="false">IF($A31="","",IFERROR(SUMIFS(Triagem!$I:$I,Triagem!$B:$B,$A31,Triagem!$Q:$Q,"SIM")/COUNTIFS(Triagem!$B:$B,$A31,Triagem!$Q:$Q,"SIM"),""))</f>
        <v/>
      </c>
    </row>
    <row r="32" customFormat="false" ht="15" hidden="false" customHeight="false" outlineLevel="0" collapsed="false">
      <c r="A32" s="29"/>
      <c r="B32" s="29"/>
      <c r="C32" s="29"/>
      <c r="D32" s="33"/>
      <c r="E32" s="30" t="str">
        <f aca="false">IF($A32="","",COUNTIFS(Triagem!$B:$B,$A32))</f>
        <v/>
      </c>
      <c r="F32" s="30" t="str">
        <f aca="false">IF($A32="","",COUNTIFS(Triagem!$B:$B,$A32,Triagem!$F:$F,"A"))</f>
        <v/>
      </c>
      <c r="G32" s="30" t="str">
        <f aca="false">IF($A32="","",COUNTIFS(Triagem!$B:$B,$A32,Triagem!$F:$F,"B"))</f>
        <v/>
      </c>
      <c r="H32" s="30" t="str">
        <f aca="false">IF($A32="","",COUNTIFS(Triagem!$B:$B,$A32,Triagem!$F:$F,"C"))</f>
        <v/>
      </c>
      <c r="I32" s="30" t="str">
        <f aca="false">IF($A32="","",COUNTIFS(Triagem!$B:$B,$A32,Triagem!$F:$F,"D"))</f>
        <v/>
      </c>
      <c r="J32" s="35" t="str">
        <f aca="false">IF($A32="","",Parametros!$C$6)</f>
        <v/>
      </c>
      <c r="K32" s="35" t="str">
        <f aca="false">IF($A32="","",$G32*Parametros!$C$7)</f>
        <v/>
      </c>
      <c r="L32" s="35" t="str">
        <f aca="false">IF($A32="","",SUMIFS(Triagem!$R:$R,Triagem!$B:$B,$A32))</f>
        <v/>
      </c>
      <c r="M32" s="35" t="str">
        <f aca="false">IF($A32="","",IF($C32="PJ",Parametros!$C$9,Parametros!$C$8))</f>
        <v/>
      </c>
      <c r="N32" s="35" t="str">
        <f aca="false">IF($A32="","",$J32+$K32+$L32)</f>
        <v/>
      </c>
      <c r="O32" s="31" t="str">
        <f aca="false">IF($A32="","",IFERROR(COUNTIFS(Triagem!$B:$B,$A32,Triagem!$M:$M,"VERIFICADO")/COUNTIFS(Triagem!$B:$B,$A32,Triagem!$Q:$Q,"SIM"),""))</f>
        <v/>
      </c>
      <c r="P32" s="31" t="str">
        <f aca="false">IF($A32="","",IFERROR(SUMIFS(Triagem!$I:$I,Triagem!$B:$B,$A32,Triagem!$Q:$Q,"SIM")/COUNTIFS(Triagem!$B:$B,$A32,Triagem!$Q:$Q,"SIM"),""))</f>
        <v/>
      </c>
    </row>
    <row r="33" customFormat="false" ht="15" hidden="false" customHeight="false" outlineLevel="0" collapsed="false">
      <c r="A33" s="29"/>
      <c r="B33" s="29"/>
      <c r="C33" s="29"/>
      <c r="D33" s="33"/>
      <c r="E33" s="30" t="str">
        <f aca="false">IF($A33="","",COUNTIFS(Triagem!$B:$B,$A33))</f>
        <v/>
      </c>
      <c r="F33" s="30" t="str">
        <f aca="false">IF($A33="","",COUNTIFS(Triagem!$B:$B,$A33,Triagem!$F:$F,"A"))</f>
        <v/>
      </c>
      <c r="G33" s="30" t="str">
        <f aca="false">IF($A33="","",COUNTIFS(Triagem!$B:$B,$A33,Triagem!$F:$F,"B"))</f>
        <v/>
      </c>
      <c r="H33" s="30" t="str">
        <f aca="false">IF($A33="","",COUNTIFS(Triagem!$B:$B,$A33,Triagem!$F:$F,"C"))</f>
        <v/>
      </c>
      <c r="I33" s="30" t="str">
        <f aca="false">IF($A33="","",COUNTIFS(Triagem!$B:$B,$A33,Triagem!$F:$F,"D"))</f>
        <v/>
      </c>
      <c r="J33" s="35" t="str">
        <f aca="false">IF($A33="","",Parametros!$C$6)</f>
        <v/>
      </c>
      <c r="K33" s="35" t="str">
        <f aca="false">IF($A33="","",$G33*Parametros!$C$7)</f>
        <v/>
      </c>
      <c r="L33" s="35" t="str">
        <f aca="false">IF($A33="","",SUMIFS(Triagem!$R:$R,Triagem!$B:$B,$A33))</f>
        <v/>
      </c>
      <c r="M33" s="35" t="str">
        <f aca="false">IF($A33="","",IF($C33="PJ",Parametros!$C$9,Parametros!$C$8))</f>
        <v/>
      </c>
      <c r="N33" s="35" t="str">
        <f aca="false">IF($A33="","",$J33+$K33+$L33)</f>
        <v/>
      </c>
      <c r="O33" s="31" t="str">
        <f aca="false">IF($A33="","",IFERROR(COUNTIFS(Triagem!$B:$B,$A33,Triagem!$M:$M,"VERIFICADO")/COUNTIFS(Triagem!$B:$B,$A33,Triagem!$Q:$Q,"SIM"),""))</f>
        <v/>
      </c>
      <c r="P33" s="31" t="str">
        <f aca="false">IF($A33="","",IFERROR(SUMIFS(Triagem!$I:$I,Triagem!$B:$B,$A33,Triagem!$Q:$Q,"SIM")/COUNTIFS(Triagem!$B:$B,$A33,Triagem!$Q:$Q,"SIM"),""))</f>
        <v/>
      </c>
    </row>
    <row r="34" customFormat="false" ht="15" hidden="false" customHeight="false" outlineLevel="0" collapsed="false">
      <c r="A34" s="29"/>
      <c r="B34" s="29"/>
      <c r="C34" s="29"/>
      <c r="D34" s="33"/>
      <c r="E34" s="30" t="str">
        <f aca="false">IF($A34="","",COUNTIFS(Triagem!$B:$B,$A34))</f>
        <v/>
      </c>
      <c r="F34" s="30" t="str">
        <f aca="false">IF($A34="","",COUNTIFS(Triagem!$B:$B,$A34,Triagem!$F:$F,"A"))</f>
        <v/>
      </c>
      <c r="G34" s="30" t="str">
        <f aca="false">IF($A34="","",COUNTIFS(Triagem!$B:$B,$A34,Triagem!$F:$F,"B"))</f>
        <v/>
      </c>
      <c r="H34" s="30" t="str">
        <f aca="false">IF($A34="","",COUNTIFS(Triagem!$B:$B,$A34,Triagem!$F:$F,"C"))</f>
        <v/>
      </c>
      <c r="I34" s="30" t="str">
        <f aca="false">IF($A34="","",COUNTIFS(Triagem!$B:$B,$A34,Triagem!$F:$F,"D"))</f>
        <v/>
      </c>
      <c r="J34" s="35" t="str">
        <f aca="false">IF($A34="","",Parametros!$C$6)</f>
        <v/>
      </c>
      <c r="K34" s="35" t="str">
        <f aca="false">IF($A34="","",$G34*Parametros!$C$7)</f>
        <v/>
      </c>
      <c r="L34" s="35" t="str">
        <f aca="false">IF($A34="","",SUMIFS(Triagem!$R:$R,Triagem!$B:$B,$A34))</f>
        <v/>
      </c>
      <c r="M34" s="35" t="str">
        <f aca="false">IF($A34="","",IF($C34="PJ",Parametros!$C$9,Parametros!$C$8))</f>
        <v/>
      </c>
      <c r="N34" s="35" t="str">
        <f aca="false">IF($A34="","",$J34+$K34+$L34)</f>
        <v/>
      </c>
      <c r="O34" s="31" t="str">
        <f aca="false">IF($A34="","",IFERROR(COUNTIFS(Triagem!$B:$B,$A34,Triagem!$M:$M,"VERIFICADO")/COUNTIFS(Triagem!$B:$B,$A34,Triagem!$Q:$Q,"SIM"),""))</f>
        <v/>
      </c>
      <c r="P34" s="31" t="str">
        <f aca="false">IF($A34="","",IFERROR(SUMIFS(Triagem!$I:$I,Triagem!$B:$B,$A34,Triagem!$Q:$Q,"SIM")/COUNTIFS(Triagem!$B:$B,$A34,Triagem!$Q:$Q,"SIM"),""))</f>
        <v/>
      </c>
    </row>
    <row r="35" customFormat="false" ht="15" hidden="false" customHeight="false" outlineLevel="0" collapsed="false">
      <c r="A35" s="29"/>
      <c r="B35" s="29"/>
      <c r="C35" s="29"/>
      <c r="D35" s="33"/>
      <c r="E35" s="30" t="str">
        <f aca="false">IF($A35="","",COUNTIFS(Triagem!$B:$B,$A35))</f>
        <v/>
      </c>
      <c r="F35" s="30" t="str">
        <f aca="false">IF($A35="","",COUNTIFS(Triagem!$B:$B,$A35,Triagem!$F:$F,"A"))</f>
        <v/>
      </c>
      <c r="G35" s="30" t="str">
        <f aca="false">IF($A35="","",COUNTIFS(Triagem!$B:$B,$A35,Triagem!$F:$F,"B"))</f>
        <v/>
      </c>
      <c r="H35" s="30" t="str">
        <f aca="false">IF($A35="","",COUNTIFS(Triagem!$B:$B,$A35,Triagem!$F:$F,"C"))</f>
        <v/>
      </c>
      <c r="I35" s="30" t="str">
        <f aca="false">IF($A35="","",COUNTIFS(Triagem!$B:$B,$A35,Triagem!$F:$F,"D"))</f>
        <v/>
      </c>
      <c r="J35" s="35" t="str">
        <f aca="false">IF($A35="","",Parametros!$C$6)</f>
        <v/>
      </c>
      <c r="K35" s="35" t="str">
        <f aca="false">IF($A35="","",$G35*Parametros!$C$7)</f>
        <v/>
      </c>
      <c r="L35" s="35" t="str">
        <f aca="false">IF($A35="","",SUMIFS(Triagem!$R:$R,Triagem!$B:$B,$A35))</f>
        <v/>
      </c>
      <c r="M35" s="35" t="str">
        <f aca="false">IF($A35="","",IF($C35="PJ",Parametros!$C$9,Parametros!$C$8))</f>
        <v/>
      </c>
      <c r="N35" s="35" t="str">
        <f aca="false">IF($A35="","",$J35+$K35+$L35)</f>
        <v/>
      </c>
      <c r="O35" s="31" t="str">
        <f aca="false">IF($A35="","",IFERROR(COUNTIFS(Triagem!$B:$B,$A35,Triagem!$M:$M,"VERIFICADO")/COUNTIFS(Triagem!$B:$B,$A35,Triagem!$Q:$Q,"SIM"),""))</f>
        <v/>
      </c>
      <c r="P35" s="31" t="str">
        <f aca="false">IF($A35="","",IFERROR(SUMIFS(Triagem!$I:$I,Triagem!$B:$B,$A35,Triagem!$Q:$Q,"SIM")/COUNTIFS(Triagem!$B:$B,$A35,Triagem!$Q:$Q,"SIM"),""))</f>
        <v/>
      </c>
    </row>
    <row r="36" customFormat="false" ht="15" hidden="false" customHeight="false" outlineLevel="0" collapsed="false">
      <c r="A36" s="29"/>
      <c r="B36" s="29"/>
      <c r="C36" s="29"/>
      <c r="D36" s="33"/>
      <c r="E36" s="30" t="str">
        <f aca="false">IF($A36="","",COUNTIFS(Triagem!$B:$B,$A36))</f>
        <v/>
      </c>
      <c r="F36" s="30" t="str">
        <f aca="false">IF($A36="","",COUNTIFS(Triagem!$B:$B,$A36,Triagem!$F:$F,"A"))</f>
        <v/>
      </c>
      <c r="G36" s="30" t="str">
        <f aca="false">IF($A36="","",COUNTIFS(Triagem!$B:$B,$A36,Triagem!$F:$F,"B"))</f>
        <v/>
      </c>
      <c r="H36" s="30" t="str">
        <f aca="false">IF($A36="","",COUNTIFS(Triagem!$B:$B,$A36,Triagem!$F:$F,"C"))</f>
        <v/>
      </c>
      <c r="I36" s="30" t="str">
        <f aca="false">IF($A36="","",COUNTIFS(Triagem!$B:$B,$A36,Triagem!$F:$F,"D"))</f>
        <v/>
      </c>
      <c r="J36" s="35" t="str">
        <f aca="false">IF($A36="","",Parametros!$C$6)</f>
        <v/>
      </c>
      <c r="K36" s="35" t="str">
        <f aca="false">IF($A36="","",$G36*Parametros!$C$7)</f>
        <v/>
      </c>
      <c r="L36" s="35" t="str">
        <f aca="false">IF($A36="","",SUMIFS(Triagem!$R:$R,Triagem!$B:$B,$A36))</f>
        <v/>
      </c>
      <c r="M36" s="35" t="str">
        <f aca="false">IF($A36="","",IF($C36="PJ",Parametros!$C$9,Parametros!$C$8))</f>
        <v/>
      </c>
      <c r="N36" s="35" t="str">
        <f aca="false">IF($A36="","",$J36+$K36+$L36)</f>
        <v/>
      </c>
      <c r="O36" s="31" t="str">
        <f aca="false">IF($A36="","",IFERROR(COUNTIFS(Triagem!$B:$B,$A36,Triagem!$M:$M,"VERIFICADO")/COUNTIFS(Triagem!$B:$B,$A36,Triagem!$Q:$Q,"SIM"),""))</f>
        <v/>
      </c>
      <c r="P36" s="31" t="str">
        <f aca="false">IF($A36="","",IFERROR(SUMIFS(Triagem!$I:$I,Triagem!$B:$B,$A36,Triagem!$Q:$Q,"SIM")/COUNTIFS(Triagem!$B:$B,$A36,Triagem!$Q:$Q,"SIM"),""))</f>
        <v/>
      </c>
    </row>
    <row r="37" customFormat="false" ht="15" hidden="false" customHeight="false" outlineLevel="0" collapsed="false">
      <c r="A37" s="29"/>
      <c r="B37" s="29"/>
      <c r="C37" s="29"/>
      <c r="D37" s="33"/>
      <c r="E37" s="30" t="str">
        <f aca="false">IF($A37="","",COUNTIFS(Triagem!$B:$B,$A37))</f>
        <v/>
      </c>
      <c r="F37" s="30" t="str">
        <f aca="false">IF($A37="","",COUNTIFS(Triagem!$B:$B,$A37,Triagem!$F:$F,"A"))</f>
        <v/>
      </c>
      <c r="G37" s="30" t="str">
        <f aca="false">IF($A37="","",COUNTIFS(Triagem!$B:$B,$A37,Triagem!$F:$F,"B"))</f>
        <v/>
      </c>
      <c r="H37" s="30" t="str">
        <f aca="false">IF($A37="","",COUNTIFS(Triagem!$B:$B,$A37,Triagem!$F:$F,"C"))</f>
        <v/>
      </c>
      <c r="I37" s="30" t="str">
        <f aca="false">IF($A37="","",COUNTIFS(Triagem!$B:$B,$A37,Triagem!$F:$F,"D"))</f>
        <v/>
      </c>
      <c r="J37" s="35" t="str">
        <f aca="false">IF($A37="","",Parametros!$C$6)</f>
        <v/>
      </c>
      <c r="K37" s="35" t="str">
        <f aca="false">IF($A37="","",$G37*Parametros!$C$7)</f>
        <v/>
      </c>
      <c r="L37" s="35" t="str">
        <f aca="false">IF($A37="","",SUMIFS(Triagem!$R:$R,Triagem!$B:$B,$A37))</f>
        <v/>
      </c>
      <c r="M37" s="35" t="str">
        <f aca="false">IF($A37="","",IF($C37="PJ",Parametros!$C$9,Parametros!$C$8))</f>
        <v/>
      </c>
      <c r="N37" s="35" t="str">
        <f aca="false">IF($A37="","",$J37+$K37+$L37)</f>
        <v/>
      </c>
      <c r="O37" s="31" t="str">
        <f aca="false">IF($A37="","",IFERROR(COUNTIFS(Triagem!$B:$B,$A37,Triagem!$M:$M,"VERIFICADO")/COUNTIFS(Triagem!$B:$B,$A37,Triagem!$Q:$Q,"SIM"),""))</f>
        <v/>
      </c>
      <c r="P37" s="31" t="str">
        <f aca="false">IF($A37="","",IFERROR(SUMIFS(Triagem!$I:$I,Triagem!$B:$B,$A37,Triagem!$Q:$Q,"SIM")/COUNTIFS(Triagem!$B:$B,$A37,Triagem!$Q:$Q,"SIM"),""))</f>
        <v/>
      </c>
    </row>
    <row r="38" customFormat="false" ht="15" hidden="false" customHeight="false" outlineLevel="0" collapsed="false">
      <c r="A38" s="29"/>
      <c r="B38" s="29"/>
      <c r="C38" s="29"/>
      <c r="D38" s="33"/>
      <c r="E38" s="30" t="str">
        <f aca="false">IF($A38="","",COUNTIFS(Triagem!$B:$B,$A38))</f>
        <v/>
      </c>
      <c r="F38" s="30" t="str">
        <f aca="false">IF($A38="","",COUNTIFS(Triagem!$B:$B,$A38,Triagem!$F:$F,"A"))</f>
        <v/>
      </c>
      <c r="G38" s="30" t="str">
        <f aca="false">IF($A38="","",COUNTIFS(Triagem!$B:$B,$A38,Triagem!$F:$F,"B"))</f>
        <v/>
      </c>
      <c r="H38" s="30" t="str">
        <f aca="false">IF($A38="","",COUNTIFS(Triagem!$B:$B,$A38,Triagem!$F:$F,"C"))</f>
        <v/>
      </c>
      <c r="I38" s="30" t="str">
        <f aca="false">IF($A38="","",COUNTIFS(Triagem!$B:$B,$A38,Triagem!$F:$F,"D"))</f>
        <v/>
      </c>
      <c r="J38" s="35" t="str">
        <f aca="false">IF($A38="","",Parametros!$C$6)</f>
        <v/>
      </c>
      <c r="K38" s="35" t="str">
        <f aca="false">IF($A38="","",$G38*Parametros!$C$7)</f>
        <v/>
      </c>
      <c r="L38" s="35" t="str">
        <f aca="false">IF($A38="","",SUMIFS(Triagem!$R:$R,Triagem!$B:$B,$A38))</f>
        <v/>
      </c>
      <c r="M38" s="35" t="str">
        <f aca="false">IF($A38="","",IF($C38="PJ",Parametros!$C$9,Parametros!$C$8))</f>
        <v/>
      </c>
      <c r="N38" s="35" t="str">
        <f aca="false">IF($A38="","",$J38+$K38+$L38)</f>
        <v/>
      </c>
      <c r="O38" s="31" t="str">
        <f aca="false">IF($A38="","",IFERROR(COUNTIFS(Triagem!$B:$B,$A38,Triagem!$M:$M,"VERIFICADO")/COUNTIFS(Triagem!$B:$B,$A38,Triagem!$Q:$Q,"SIM"),""))</f>
        <v/>
      </c>
      <c r="P38" s="31" t="str">
        <f aca="false">IF($A38="","",IFERROR(SUMIFS(Triagem!$I:$I,Triagem!$B:$B,$A38,Triagem!$Q:$Q,"SIM")/COUNTIFS(Triagem!$B:$B,$A38,Triagem!$Q:$Q,"SIM"),""))</f>
        <v/>
      </c>
    </row>
    <row r="39" customFormat="false" ht="15" hidden="false" customHeight="false" outlineLevel="0" collapsed="false">
      <c r="A39" s="29"/>
      <c r="B39" s="29"/>
      <c r="C39" s="29"/>
      <c r="D39" s="33"/>
      <c r="E39" s="30" t="str">
        <f aca="false">IF($A39="","",COUNTIFS(Triagem!$B:$B,$A39))</f>
        <v/>
      </c>
      <c r="F39" s="30" t="str">
        <f aca="false">IF($A39="","",COUNTIFS(Triagem!$B:$B,$A39,Triagem!$F:$F,"A"))</f>
        <v/>
      </c>
      <c r="G39" s="30" t="str">
        <f aca="false">IF($A39="","",COUNTIFS(Triagem!$B:$B,$A39,Triagem!$F:$F,"B"))</f>
        <v/>
      </c>
      <c r="H39" s="30" t="str">
        <f aca="false">IF($A39="","",COUNTIFS(Triagem!$B:$B,$A39,Triagem!$F:$F,"C"))</f>
        <v/>
      </c>
      <c r="I39" s="30" t="str">
        <f aca="false">IF($A39="","",COUNTIFS(Triagem!$B:$B,$A39,Triagem!$F:$F,"D"))</f>
        <v/>
      </c>
      <c r="J39" s="35" t="str">
        <f aca="false">IF($A39="","",Parametros!$C$6)</f>
        <v/>
      </c>
      <c r="K39" s="35" t="str">
        <f aca="false">IF($A39="","",$G39*Parametros!$C$7)</f>
        <v/>
      </c>
      <c r="L39" s="35" t="str">
        <f aca="false">IF($A39="","",SUMIFS(Triagem!$R:$R,Triagem!$B:$B,$A39))</f>
        <v/>
      </c>
      <c r="M39" s="35" t="str">
        <f aca="false">IF($A39="","",IF($C39="PJ",Parametros!$C$9,Parametros!$C$8))</f>
        <v/>
      </c>
      <c r="N39" s="35" t="str">
        <f aca="false">IF($A39="","",$J39+$K39+$L39)</f>
        <v/>
      </c>
      <c r="O39" s="31" t="str">
        <f aca="false">IF($A39="","",IFERROR(COUNTIFS(Triagem!$B:$B,$A39,Triagem!$M:$M,"VERIFICADO")/COUNTIFS(Triagem!$B:$B,$A39,Triagem!$Q:$Q,"SIM"),""))</f>
        <v/>
      </c>
      <c r="P39" s="31" t="str">
        <f aca="false">IF($A39="","",IFERROR(SUMIFS(Triagem!$I:$I,Triagem!$B:$B,$A39,Triagem!$Q:$Q,"SIM")/COUNTIFS(Triagem!$B:$B,$A39,Triagem!$Q:$Q,"SIM"),""))</f>
        <v/>
      </c>
    </row>
    <row r="40" customFormat="false" ht="15" hidden="false" customHeight="false" outlineLevel="0" collapsed="false">
      <c r="A40" s="29"/>
      <c r="B40" s="29"/>
      <c r="C40" s="29"/>
      <c r="D40" s="33"/>
      <c r="E40" s="30" t="str">
        <f aca="false">IF($A40="","",COUNTIFS(Triagem!$B:$B,$A40))</f>
        <v/>
      </c>
      <c r="F40" s="30" t="str">
        <f aca="false">IF($A40="","",COUNTIFS(Triagem!$B:$B,$A40,Triagem!$F:$F,"A"))</f>
        <v/>
      </c>
      <c r="G40" s="30" t="str">
        <f aca="false">IF($A40="","",COUNTIFS(Triagem!$B:$B,$A40,Triagem!$F:$F,"B"))</f>
        <v/>
      </c>
      <c r="H40" s="30" t="str">
        <f aca="false">IF($A40="","",COUNTIFS(Triagem!$B:$B,$A40,Triagem!$F:$F,"C"))</f>
        <v/>
      </c>
      <c r="I40" s="30" t="str">
        <f aca="false">IF($A40="","",COUNTIFS(Triagem!$B:$B,$A40,Triagem!$F:$F,"D"))</f>
        <v/>
      </c>
      <c r="J40" s="35" t="str">
        <f aca="false">IF($A40="","",Parametros!$C$6)</f>
        <v/>
      </c>
      <c r="K40" s="35" t="str">
        <f aca="false">IF($A40="","",$G40*Parametros!$C$7)</f>
        <v/>
      </c>
      <c r="L40" s="35" t="str">
        <f aca="false">IF($A40="","",SUMIFS(Triagem!$R:$R,Triagem!$B:$B,$A40))</f>
        <v/>
      </c>
      <c r="M40" s="35" t="str">
        <f aca="false">IF($A40="","",IF($C40="PJ",Parametros!$C$9,Parametros!$C$8))</f>
        <v/>
      </c>
      <c r="N40" s="35" t="str">
        <f aca="false">IF($A40="","",$J40+$K40+$L40)</f>
        <v/>
      </c>
      <c r="O40" s="31" t="str">
        <f aca="false">IF($A40="","",IFERROR(COUNTIFS(Triagem!$B:$B,$A40,Triagem!$M:$M,"VERIFICADO")/COUNTIFS(Triagem!$B:$B,$A40,Triagem!$Q:$Q,"SIM"),""))</f>
        <v/>
      </c>
      <c r="P40" s="31" t="str">
        <f aca="false">IF($A40="","",IFERROR(SUMIFS(Triagem!$I:$I,Triagem!$B:$B,$A40,Triagem!$Q:$Q,"SIM")/COUNTIFS(Triagem!$B:$B,$A40,Triagem!$Q:$Q,"SIM"),""))</f>
        <v/>
      </c>
    </row>
    <row r="41" customFormat="false" ht="15" hidden="false" customHeight="false" outlineLevel="0" collapsed="false">
      <c r="A41" s="29"/>
      <c r="B41" s="29"/>
      <c r="C41" s="29"/>
      <c r="D41" s="33"/>
      <c r="E41" s="30" t="str">
        <f aca="false">IF($A41="","",COUNTIFS(Triagem!$B:$B,$A41))</f>
        <v/>
      </c>
      <c r="F41" s="30" t="str">
        <f aca="false">IF($A41="","",COUNTIFS(Triagem!$B:$B,$A41,Triagem!$F:$F,"A"))</f>
        <v/>
      </c>
      <c r="G41" s="30" t="str">
        <f aca="false">IF($A41="","",COUNTIFS(Triagem!$B:$B,$A41,Triagem!$F:$F,"B"))</f>
        <v/>
      </c>
      <c r="H41" s="30" t="str">
        <f aca="false">IF($A41="","",COUNTIFS(Triagem!$B:$B,$A41,Triagem!$F:$F,"C"))</f>
        <v/>
      </c>
      <c r="I41" s="30" t="str">
        <f aca="false">IF($A41="","",COUNTIFS(Triagem!$B:$B,$A41,Triagem!$F:$F,"D"))</f>
        <v/>
      </c>
      <c r="J41" s="35" t="str">
        <f aca="false">IF($A41="","",Parametros!$C$6)</f>
        <v/>
      </c>
      <c r="K41" s="35" t="str">
        <f aca="false">IF($A41="","",$G41*Parametros!$C$7)</f>
        <v/>
      </c>
      <c r="L41" s="35" t="str">
        <f aca="false">IF($A41="","",SUMIFS(Triagem!$R:$R,Triagem!$B:$B,$A41))</f>
        <v/>
      </c>
      <c r="M41" s="35" t="str">
        <f aca="false">IF($A41="","",IF($C41="PJ",Parametros!$C$9,Parametros!$C$8))</f>
        <v/>
      </c>
      <c r="N41" s="35" t="str">
        <f aca="false">IF($A41="","",$J41+$K41+$L41)</f>
        <v/>
      </c>
      <c r="O41" s="31" t="str">
        <f aca="false">IF($A41="","",IFERROR(COUNTIFS(Triagem!$B:$B,$A41,Triagem!$M:$M,"VERIFICADO")/COUNTIFS(Triagem!$B:$B,$A41,Triagem!$Q:$Q,"SIM"),""))</f>
        <v/>
      </c>
      <c r="P41" s="31" t="str">
        <f aca="false">IF($A41="","",IFERROR(SUMIFS(Triagem!$I:$I,Triagem!$B:$B,$A41,Triagem!$Q:$Q,"SIM")/COUNTIFS(Triagem!$B:$B,$A41,Triagem!$Q:$Q,"SIM"),""))</f>
        <v/>
      </c>
    </row>
    <row r="42" customFormat="false" ht="15" hidden="false" customHeight="false" outlineLevel="0" collapsed="false">
      <c r="A42" s="29"/>
      <c r="B42" s="29"/>
      <c r="C42" s="29"/>
      <c r="D42" s="33"/>
      <c r="E42" s="30" t="str">
        <f aca="false">IF($A42="","",COUNTIFS(Triagem!$B:$B,$A42))</f>
        <v/>
      </c>
      <c r="F42" s="30" t="str">
        <f aca="false">IF($A42="","",COUNTIFS(Triagem!$B:$B,$A42,Triagem!$F:$F,"A"))</f>
        <v/>
      </c>
      <c r="G42" s="30" t="str">
        <f aca="false">IF($A42="","",COUNTIFS(Triagem!$B:$B,$A42,Triagem!$F:$F,"B"))</f>
        <v/>
      </c>
      <c r="H42" s="30" t="str">
        <f aca="false">IF($A42="","",COUNTIFS(Triagem!$B:$B,$A42,Triagem!$F:$F,"C"))</f>
        <v/>
      </c>
      <c r="I42" s="30" t="str">
        <f aca="false">IF($A42="","",COUNTIFS(Triagem!$B:$B,$A42,Triagem!$F:$F,"D"))</f>
        <v/>
      </c>
      <c r="J42" s="35" t="str">
        <f aca="false">IF($A42="","",Parametros!$C$6)</f>
        <v/>
      </c>
      <c r="K42" s="35" t="str">
        <f aca="false">IF($A42="","",$G42*Parametros!$C$7)</f>
        <v/>
      </c>
      <c r="L42" s="35" t="str">
        <f aca="false">IF($A42="","",SUMIFS(Triagem!$R:$R,Triagem!$B:$B,$A42))</f>
        <v/>
      </c>
      <c r="M42" s="35" t="str">
        <f aca="false">IF($A42="","",IF($C42="PJ",Parametros!$C$9,Parametros!$C$8))</f>
        <v/>
      </c>
      <c r="N42" s="35" t="str">
        <f aca="false">IF($A42="","",$J42+$K42+$L42)</f>
        <v/>
      </c>
      <c r="O42" s="31" t="str">
        <f aca="false">IF($A42="","",IFERROR(COUNTIFS(Triagem!$B:$B,$A42,Triagem!$M:$M,"VERIFICADO")/COUNTIFS(Triagem!$B:$B,$A42,Triagem!$Q:$Q,"SIM"),""))</f>
        <v/>
      </c>
      <c r="P42" s="31" t="str">
        <f aca="false">IF($A42="","",IFERROR(SUMIFS(Triagem!$I:$I,Triagem!$B:$B,$A42,Triagem!$Q:$Q,"SIM")/COUNTIFS(Triagem!$B:$B,$A42,Triagem!$Q:$Q,"SIM"),""))</f>
        <v/>
      </c>
    </row>
    <row r="43" customFormat="false" ht="15" hidden="false" customHeight="false" outlineLevel="0" collapsed="false">
      <c r="A43" s="29"/>
      <c r="B43" s="29"/>
      <c r="C43" s="29"/>
      <c r="D43" s="33"/>
      <c r="E43" s="30" t="str">
        <f aca="false">IF($A43="","",COUNTIFS(Triagem!$B:$B,$A43))</f>
        <v/>
      </c>
      <c r="F43" s="30" t="str">
        <f aca="false">IF($A43="","",COUNTIFS(Triagem!$B:$B,$A43,Triagem!$F:$F,"A"))</f>
        <v/>
      </c>
      <c r="G43" s="30" t="str">
        <f aca="false">IF($A43="","",COUNTIFS(Triagem!$B:$B,$A43,Triagem!$F:$F,"B"))</f>
        <v/>
      </c>
      <c r="H43" s="30" t="str">
        <f aca="false">IF($A43="","",COUNTIFS(Triagem!$B:$B,$A43,Triagem!$F:$F,"C"))</f>
        <v/>
      </c>
      <c r="I43" s="30" t="str">
        <f aca="false">IF($A43="","",COUNTIFS(Triagem!$B:$B,$A43,Triagem!$F:$F,"D"))</f>
        <v/>
      </c>
      <c r="J43" s="35" t="str">
        <f aca="false">IF($A43="","",Parametros!$C$6)</f>
        <v/>
      </c>
      <c r="K43" s="35" t="str">
        <f aca="false">IF($A43="","",$G43*Parametros!$C$7)</f>
        <v/>
      </c>
      <c r="L43" s="35" t="str">
        <f aca="false">IF($A43="","",SUMIFS(Triagem!$R:$R,Triagem!$B:$B,$A43))</f>
        <v/>
      </c>
      <c r="M43" s="35" t="str">
        <f aca="false">IF($A43="","",IF($C43="PJ",Parametros!$C$9,Parametros!$C$8))</f>
        <v/>
      </c>
      <c r="N43" s="35" t="str">
        <f aca="false">IF($A43="","",$J43+$K43+$L43)</f>
        <v/>
      </c>
      <c r="O43" s="31" t="str">
        <f aca="false">IF($A43="","",IFERROR(COUNTIFS(Triagem!$B:$B,$A43,Triagem!$M:$M,"VERIFICADO")/COUNTIFS(Triagem!$B:$B,$A43,Triagem!$Q:$Q,"SIM"),""))</f>
        <v/>
      </c>
      <c r="P43" s="31" t="str">
        <f aca="false">IF($A43="","",IFERROR(SUMIFS(Triagem!$I:$I,Triagem!$B:$B,$A43,Triagem!$Q:$Q,"SIM")/COUNTIFS(Triagem!$B:$B,$A43,Triagem!$Q:$Q,"SIM"),""))</f>
        <v/>
      </c>
    </row>
    <row r="44" customFormat="false" ht="15" hidden="false" customHeight="false" outlineLevel="0" collapsed="false">
      <c r="A44" s="29"/>
      <c r="B44" s="29"/>
      <c r="C44" s="29"/>
      <c r="D44" s="33"/>
      <c r="E44" s="30" t="str">
        <f aca="false">IF($A44="","",COUNTIFS(Triagem!$B:$B,$A44))</f>
        <v/>
      </c>
      <c r="F44" s="30" t="str">
        <f aca="false">IF($A44="","",COUNTIFS(Triagem!$B:$B,$A44,Triagem!$F:$F,"A"))</f>
        <v/>
      </c>
      <c r="G44" s="30" t="str">
        <f aca="false">IF($A44="","",COUNTIFS(Triagem!$B:$B,$A44,Triagem!$F:$F,"B"))</f>
        <v/>
      </c>
      <c r="H44" s="30" t="str">
        <f aca="false">IF($A44="","",COUNTIFS(Triagem!$B:$B,$A44,Triagem!$F:$F,"C"))</f>
        <v/>
      </c>
      <c r="I44" s="30" t="str">
        <f aca="false">IF($A44="","",COUNTIFS(Triagem!$B:$B,$A44,Triagem!$F:$F,"D"))</f>
        <v/>
      </c>
      <c r="J44" s="35" t="str">
        <f aca="false">IF($A44="","",Parametros!$C$6)</f>
        <v/>
      </c>
      <c r="K44" s="35" t="str">
        <f aca="false">IF($A44="","",$G44*Parametros!$C$7)</f>
        <v/>
      </c>
      <c r="L44" s="35" t="str">
        <f aca="false">IF($A44="","",SUMIFS(Triagem!$R:$R,Triagem!$B:$B,$A44))</f>
        <v/>
      </c>
      <c r="M44" s="35" t="str">
        <f aca="false">IF($A44="","",IF($C44="PJ",Parametros!$C$9,Parametros!$C$8))</f>
        <v/>
      </c>
      <c r="N44" s="35" t="str">
        <f aca="false">IF($A44="","",$J44+$K44+$L44)</f>
        <v/>
      </c>
      <c r="O44" s="31" t="str">
        <f aca="false">IF($A44="","",IFERROR(COUNTIFS(Triagem!$B:$B,$A44,Triagem!$M:$M,"VERIFICADO")/COUNTIFS(Triagem!$B:$B,$A44,Triagem!$Q:$Q,"SIM"),""))</f>
        <v/>
      </c>
      <c r="P44" s="31" t="str">
        <f aca="false">IF($A44="","",IFERROR(SUMIFS(Triagem!$I:$I,Triagem!$B:$B,$A44,Triagem!$Q:$Q,"SIM")/COUNTIFS(Triagem!$B:$B,$A44,Triagem!$Q:$Q,"SIM"),""))</f>
        <v/>
      </c>
    </row>
    <row r="45" customFormat="false" ht="15" hidden="false" customHeight="false" outlineLevel="0" collapsed="false">
      <c r="A45" s="29"/>
      <c r="B45" s="29"/>
      <c r="C45" s="29"/>
      <c r="D45" s="33"/>
      <c r="E45" s="30" t="str">
        <f aca="false">IF($A45="","",COUNTIFS(Triagem!$B:$B,$A45))</f>
        <v/>
      </c>
      <c r="F45" s="30" t="str">
        <f aca="false">IF($A45="","",COUNTIFS(Triagem!$B:$B,$A45,Triagem!$F:$F,"A"))</f>
        <v/>
      </c>
      <c r="G45" s="30" t="str">
        <f aca="false">IF($A45="","",COUNTIFS(Triagem!$B:$B,$A45,Triagem!$F:$F,"B"))</f>
        <v/>
      </c>
      <c r="H45" s="30" t="str">
        <f aca="false">IF($A45="","",COUNTIFS(Triagem!$B:$B,$A45,Triagem!$F:$F,"C"))</f>
        <v/>
      </c>
      <c r="I45" s="30" t="str">
        <f aca="false">IF($A45="","",COUNTIFS(Triagem!$B:$B,$A45,Triagem!$F:$F,"D"))</f>
        <v/>
      </c>
      <c r="J45" s="35" t="str">
        <f aca="false">IF($A45="","",Parametros!$C$6)</f>
        <v/>
      </c>
      <c r="K45" s="35" t="str">
        <f aca="false">IF($A45="","",$G45*Parametros!$C$7)</f>
        <v/>
      </c>
      <c r="L45" s="35" t="str">
        <f aca="false">IF($A45="","",SUMIFS(Triagem!$R:$R,Triagem!$B:$B,$A45))</f>
        <v/>
      </c>
      <c r="M45" s="35" t="str">
        <f aca="false">IF($A45="","",IF($C45="PJ",Parametros!$C$9,Parametros!$C$8))</f>
        <v/>
      </c>
      <c r="N45" s="35" t="str">
        <f aca="false">IF($A45="","",$J45+$K45+$L45)</f>
        <v/>
      </c>
      <c r="O45" s="31" t="str">
        <f aca="false">IF($A45="","",IFERROR(COUNTIFS(Triagem!$B:$B,$A45,Triagem!$M:$M,"VERIFICADO")/COUNTIFS(Triagem!$B:$B,$A45,Triagem!$Q:$Q,"SIM"),""))</f>
        <v/>
      </c>
      <c r="P45" s="31" t="str">
        <f aca="false">IF($A45="","",IFERROR(SUMIFS(Triagem!$I:$I,Triagem!$B:$B,$A45,Triagem!$Q:$Q,"SIM")/COUNTIFS(Triagem!$B:$B,$A45,Triagem!$Q:$Q,"SIM"),""))</f>
        <v/>
      </c>
    </row>
    <row r="46" customFormat="false" ht="15" hidden="false" customHeight="false" outlineLevel="0" collapsed="false">
      <c r="A46" s="29"/>
      <c r="B46" s="29"/>
      <c r="C46" s="29"/>
      <c r="D46" s="33"/>
      <c r="E46" s="30" t="str">
        <f aca="false">IF($A46="","",COUNTIFS(Triagem!$B:$B,$A46))</f>
        <v/>
      </c>
      <c r="F46" s="30" t="str">
        <f aca="false">IF($A46="","",COUNTIFS(Triagem!$B:$B,$A46,Triagem!$F:$F,"A"))</f>
        <v/>
      </c>
      <c r="G46" s="30" t="str">
        <f aca="false">IF($A46="","",COUNTIFS(Triagem!$B:$B,$A46,Triagem!$F:$F,"B"))</f>
        <v/>
      </c>
      <c r="H46" s="30" t="str">
        <f aca="false">IF($A46="","",COUNTIFS(Triagem!$B:$B,$A46,Triagem!$F:$F,"C"))</f>
        <v/>
      </c>
      <c r="I46" s="30" t="str">
        <f aca="false">IF($A46="","",COUNTIFS(Triagem!$B:$B,$A46,Triagem!$F:$F,"D"))</f>
        <v/>
      </c>
      <c r="J46" s="35" t="str">
        <f aca="false">IF($A46="","",Parametros!$C$6)</f>
        <v/>
      </c>
      <c r="K46" s="35" t="str">
        <f aca="false">IF($A46="","",$G46*Parametros!$C$7)</f>
        <v/>
      </c>
      <c r="L46" s="35" t="str">
        <f aca="false">IF($A46="","",SUMIFS(Triagem!$R:$R,Triagem!$B:$B,$A46))</f>
        <v/>
      </c>
      <c r="M46" s="35" t="str">
        <f aca="false">IF($A46="","",IF($C46="PJ",Parametros!$C$9,Parametros!$C$8))</f>
        <v/>
      </c>
      <c r="N46" s="35" t="str">
        <f aca="false">IF($A46="","",$J46+$K46+$L46)</f>
        <v/>
      </c>
      <c r="O46" s="31" t="str">
        <f aca="false">IF($A46="","",IFERROR(COUNTIFS(Triagem!$B:$B,$A46,Triagem!$M:$M,"VERIFICADO")/COUNTIFS(Triagem!$B:$B,$A46,Triagem!$Q:$Q,"SIM"),""))</f>
        <v/>
      </c>
      <c r="P46" s="31" t="str">
        <f aca="false">IF($A46="","",IFERROR(SUMIFS(Triagem!$I:$I,Triagem!$B:$B,$A46,Triagem!$Q:$Q,"SIM")/COUNTIFS(Triagem!$B:$B,$A46,Triagem!$Q:$Q,"SIM"),""))</f>
        <v/>
      </c>
    </row>
    <row r="47" customFormat="false" ht="15" hidden="false" customHeight="false" outlineLevel="0" collapsed="false">
      <c r="A47" s="29"/>
      <c r="B47" s="29"/>
      <c r="C47" s="29"/>
      <c r="D47" s="33"/>
      <c r="E47" s="30" t="str">
        <f aca="false">IF($A47="","",COUNTIFS(Triagem!$B:$B,$A47))</f>
        <v/>
      </c>
      <c r="F47" s="30" t="str">
        <f aca="false">IF($A47="","",COUNTIFS(Triagem!$B:$B,$A47,Triagem!$F:$F,"A"))</f>
        <v/>
      </c>
      <c r="G47" s="30" t="str">
        <f aca="false">IF($A47="","",COUNTIFS(Triagem!$B:$B,$A47,Triagem!$F:$F,"B"))</f>
        <v/>
      </c>
      <c r="H47" s="30" t="str">
        <f aca="false">IF($A47="","",COUNTIFS(Triagem!$B:$B,$A47,Triagem!$F:$F,"C"))</f>
        <v/>
      </c>
      <c r="I47" s="30" t="str">
        <f aca="false">IF($A47="","",COUNTIFS(Triagem!$B:$B,$A47,Triagem!$F:$F,"D"))</f>
        <v/>
      </c>
      <c r="J47" s="35" t="str">
        <f aca="false">IF($A47="","",Parametros!$C$6)</f>
        <v/>
      </c>
      <c r="K47" s="35" t="str">
        <f aca="false">IF($A47="","",$G47*Parametros!$C$7)</f>
        <v/>
      </c>
      <c r="L47" s="35" t="str">
        <f aca="false">IF($A47="","",SUMIFS(Triagem!$R:$R,Triagem!$B:$B,$A47))</f>
        <v/>
      </c>
      <c r="M47" s="35" t="str">
        <f aca="false">IF($A47="","",IF($C47="PJ",Parametros!$C$9,Parametros!$C$8))</f>
        <v/>
      </c>
      <c r="N47" s="35" t="str">
        <f aca="false">IF($A47="","",$J47+$K47+$L47)</f>
        <v/>
      </c>
      <c r="O47" s="31" t="str">
        <f aca="false">IF($A47="","",IFERROR(COUNTIFS(Triagem!$B:$B,$A47,Triagem!$M:$M,"VERIFICADO")/COUNTIFS(Triagem!$B:$B,$A47,Triagem!$Q:$Q,"SIM"),""))</f>
        <v/>
      </c>
      <c r="P47" s="31" t="str">
        <f aca="false">IF($A47="","",IFERROR(SUMIFS(Triagem!$I:$I,Triagem!$B:$B,$A47,Triagem!$Q:$Q,"SIM")/COUNTIFS(Triagem!$B:$B,$A47,Triagem!$Q:$Q,"SIM"),""))</f>
        <v/>
      </c>
    </row>
    <row r="48" customFormat="false" ht="15" hidden="false" customHeight="false" outlineLevel="0" collapsed="false">
      <c r="A48" s="29"/>
      <c r="B48" s="29"/>
      <c r="C48" s="29"/>
      <c r="D48" s="33"/>
      <c r="E48" s="30" t="str">
        <f aca="false">IF($A48="","",COUNTIFS(Triagem!$B:$B,$A48))</f>
        <v/>
      </c>
      <c r="F48" s="30" t="str">
        <f aca="false">IF($A48="","",COUNTIFS(Triagem!$B:$B,$A48,Triagem!$F:$F,"A"))</f>
        <v/>
      </c>
      <c r="G48" s="30" t="str">
        <f aca="false">IF($A48="","",COUNTIFS(Triagem!$B:$B,$A48,Triagem!$F:$F,"B"))</f>
        <v/>
      </c>
      <c r="H48" s="30" t="str">
        <f aca="false">IF($A48="","",COUNTIFS(Triagem!$B:$B,$A48,Triagem!$F:$F,"C"))</f>
        <v/>
      </c>
      <c r="I48" s="30" t="str">
        <f aca="false">IF($A48="","",COUNTIFS(Triagem!$B:$B,$A48,Triagem!$F:$F,"D"))</f>
        <v/>
      </c>
      <c r="J48" s="35" t="str">
        <f aca="false">IF($A48="","",Parametros!$C$6)</f>
        <v/>
      </c>
      <c r="K48" s="35" t="str">
        <f aca="false">IF($A48="","",$G48*Parametros!$C$7)</f>
        <v/>
      </c>
      <c r="L48" s="35" t="str">
        <f aca="false">IF($A48="","",SUMIFS(Triagem!$R:$R,Triagem!$B:$B,$A48))</f>
        <v/>
      </c>
      <c r="M48" s="35" t="str">
        <f aca="false">IF($A48="","",IF($C48="PJ",Parametros!$C$9,Parametros!$C$8))</f>
        <v/>
      </c>
      <c r="N48" s="35" t="str">
        <f aca="false">IF($A48="","",$J48+$K48+$L48)</f>
        <v/>
      </c>
      <c r="O48" s="31" t="str">
        <f aca="false">IF($A48="","",IFERROR(COUNTIFS(Triagem!$B:$B,$A48,Triagem!$M:$M,"VERIFICADO")/COUNTIFS(Triagem!$B:$B,$A48,Triagem!$Q:$Q,"SIM"),""))</f>
        <v/>
      </c>
      <c r="P48" s="31" t="str">
        <f aca="false">IF($A48="","",IFERROR(SUMIFS(Triagem!$I:$I,Triagem!$B:$B,$A48,Triagem!$Q:$Q,"SIM")/COUNTIFS(Triagem!$B:$B,$A48,Triagem!$Q:$Q,"SIM"),""))</f>
        <v/>
      </c>
    </row>
    <row r="49" customFormat="false" ht="15" hidden="false" customHeight="false" outlineLevel="0" collapsed="false">
      <c r="A49" s="29"/>
      <c r="B49" s="29"/>
      <c r="C49" s="29"/>
      <c r="D49" s="33"/>
      <c r="E49" s="30" t="str">
        <f aca="false">IF($A49="","",COUNTIFS(Triagem!$B:$B,$A49))</f>
        <v/>
      </c>
      <c r="F49" s="30" t="str">
        <f aca="false">IF($A49="","",COUNTIFS(Triagem!$B:$B,$A49,Triagem!$F:$F,"A"))</f>
        <v/>
      </c>
      <c r="G49" s="30" t="str">
        <f aca="false">IF($A49="","",COUNTIFS(Triagem!$B:$B,$A49,Triagem!$F:$F,"B"))</f>
        <v/>
      </c>
      <c r="H49" s="30" t="str">
        <f aca="false">IF($A49="","",COUNTIFS(Triagem!$B:$B,$A49,Triagem!$F:$F,"C"))</f>
        <v/>
      </c>
      <c r="I49" s="30" t="str">
        <f aca="false">IF($A49="","",COUNTIFS(Triagem!$B:$B,$A49,Triagem!$F:$F,"D"))</f>
        <v/>
      </c>
      <c r="J49" s="35" t="str">
        <f aca="false">IF($A49="","",Parametros!$C$6)</f>
        <v/>
      </c>
      <c r="K49" s="35" t="str">
        <f aca="false">IF($A49="","",$G49*Parametros!$C$7)</f>
        <v/>
      </c>
      <c r="L49" s="35" t="str">
        <f aca="false">IF($A49="","",SUMIFS(Triagem!$R:$R,Triagem!$B:$B,$A49))</f>
        <v/>
      </c>
      <c r="M49" s="35" t="str">
        <f aca="false">IF($A49="","",IF($C49="PJ",Parametros!$C$9,Parametros!$C$8))</f>
        <v/>
      </c>
      <c r="N49" s="35" t="str">
        <f aca="false">IF($A49="","",$J49+$K49+$L49)</f>
        <v/>
      </c>
      <c r="O49" s="31" t="str">
        <f aca="false">IF($A49="","",IFERROR(COUNTIFS(Triagem!$B:$B,$A49,Triagem!$M:$M,"VERIFICADO")/COUNTIFS(Triagem!$B:$B,$A49,Triagem!$Q:$Q,"SIM"),""))</f>
        <v/>
      </c>
      <c r="P49" s="31" t="str">
        <f aca="false">IF($A49="","",IFERROR(SUMIFS(Triagem!$I:$I,Triagem!$B:$B,$A49,Triagem!$Q:$Q,"SIM")/COUNTIFS(Triagem!$B:$B,$A49,Triagem!$Q:$Q,"SIM"),""))</f>
        <v/>
      </c>
    </row>
    <row r="50" customFormat="false" ht="15" hidden="false" customHeight="false" outlineLevel="0" collapsed="false">
      <c r="A50" s="29"/>
      <c r="B50" s="29"/>
      <c r="C50" s="29"/>
      <c r="D50" s="33"/>
      <c r="E50" s="30" t="str">
        <f aca="false">IF($A50="","",COUNTIFS(Triagem!$B:$B,$A50))</f>
        <v/>
      </c>
      <c r="F50" s="30" t="str">
        <f aca="false">IF($A50="","",COUNTIFS(Triagem!$B:$B,$A50,Triagem!$F:$F,"A"))</f>
        <v/>
      </c>
      <c r="G50" s="30" t="str">
        <f aca="false">IF($A50="","",COUNTIFS(Triagem!$B:$B,$A50,Triagem!$F:$F,"B"))</f>
        <v/>
      </c>
      <c r="H50" s="30" t="str">
        <f aca="false">IF($A50="","",COUNTIFS(Triagem!$B:$B,$A50,Triagem!$F:$F,"C"))</f>
        <v/>
      </c>
      <c r="I50" s="30" t="str">
        <f aca="false">IF($A50="","",COUNTIFS(Triagem!$B:$B,$A50,Triagem!$F:$F,"D"))</f>
        <v/>
      </c>
      <c r="J50" s="35" t="str">
        <f aca="false">IF($A50="","",Parametros!$C$6)</f>
        <v/>
      </c>
      <c r="K50" s="35" t="str">
        <f aca="false">IF($A50="","",$G50*Parametros!$C$7)</f>
        <v/>
      </c>
      <c r="L50" s="35" t="str">
        <f aca="false">IF($A50="","",SUMIFS(Triagem!$R:$R,Triagem!$B:$B,$A50))</f>
        <v/>
      </c>
      <c r="M50" s="35" t="str">
        <f aca="false">IF($A50="","",IF($C50="PJ",Parametros!$C$9,Parametros!$C$8))</f>
        <v/>
      </c>
      <c r="N50" s="35" t="str">
        <f aca="false">IF($A50="","",$J50+$K50+$L50)</f>
        <v/>
      </c>
      <c r="O50" s="31" t="str">
        <f aca="false">IF($A50="","",IFERROR(COUNTIFS(Triagem!$B:$B,$A50,Triagem!$M:$M,"VERIFICADO")/COUNTIFS(Triagem!$B:$B,$A50,Triagem!$Q:$Q,"SIM"),""))</f>
        <v/>
      </c>
      <c r="P50" s="31" t="str">
        <f aca="false">IF($A50="","",IFERROR(SUMIFS(Triagem!$I:$I,Triagem!$B:$B,$A50,Triagem!$Q:$Q,"SIM")/COUNTIFS(Triagem!$B:$B,$A50,Triagem!$Q:$Q,"SIM"),""))</f>
        <v/>
      </c>
    </row>
    <row r="51" customFormat="false" ht="15" hidden="false" customHeight="false" outlineLevel="0" collapsed="false">
      <c r="A51" s="29"/>
      <c r="B51" s="29"/>
      <c r="C51" s="29"/>
      <c r="D51" s="33"/>
      <c r="E51" s="30" t="str">
        <f aca="false">IF($A51="","",COUNTIFS(Triagem!$B:$B,$A51))</f>
        <v/>
      </c>
      <c r="F51" s="30" t="str">
        <f aca="false">IF($A51="","",COUNTIFS(Triagem!$B:$B,$A51,Triagem!$F:$F,"A"))</f>
        <v/>
      </c>
      <c r="G51" s="30" t="str">
        <f aca="false">IF($A51="","",COUNTIFS(Triagem!$B:$B,$A51,Triagem!$F:$F,"B"))</f>
        <v/>
      </c>
      <c r="H51" s="30" t="str">
        <f aca="false">IF($A51="","",COUNTIFS(Triagem!$B:$B,$A51,Triagem!$F:$F,"C"))</f>
        <v/>
      </c>
      <c r="I51" s="30" t="str">
        <f aca="false">IF($A51="","",COUNTIFS(Triagem!$B:$B,$A51,Triagem!$F:$F,"D"))</f>
        <v/>
      </c>
      <c r="J51" s="35" t="str">
        <f aca="false">IF($A51="","",Parametros!$C$6)</f>
        <v/>
      </c>
      <c r="K51" s="35" t="str">
        <f aca="false">IF($A51="","",$G51*Parametros!$C$7)</f>
        <v/>
      </c>
      <c r="L51" s="35" t="str">
        <f aca="false">IF($A51="","",SUMIFS(Triagem!$R:$R,Triagem!$B:$B,$A51))</f>
        <v/>
      </c>
      <c r="M51" s="35" t="str">
        <f aca="false">IF($A51="","",IF($C51="PJ",Parametros!$C$9,Parametros!$C$8))</f>
        <v/>
      </c>
      <c r="N51" s="35" t="str">
        <f aca="false">IF($A51="","",$J51+$K51+$L51)</f>
        <v/>
      </c>
      <c r="O51" s="31" t="str">
        <f aca="false">IF($A51="","",IFERROR(COUNTIFS(Triagem!$B:$B,$A51,Triagem!$M:$M,"VERIFICADO")/COUNTIFS(Triagem!$B:$B,$A51,Triagem!$Q:$Q,"SIM"),""))</f>
        <v/>
      </c>
      <c r="P51" s="31" t="str">
        <f aca="false">IF($A51="","",IFERROR(SUMIFS(Triagem!$I:$I,Triagem!$B:$B,$A51,Triagem!$Q:$Q,"SIM")/COUNTIFS(Triagem!$B:$B,$A51,Triagem!$Q:$Q,"SIM"),""))</f>
        <v/>
      </c>
    </row>
    <row r="52" customFormat="false" ht="15" hidden="false" customHeight="false" outlineLevel="0" collapsed="false">
      <c r="A52" s="29"/>
      <c r="B52" s="29"/>
      <c r="C52" s="29"/>
      <c r="D52" s="33"/>
      <c r="E52" s="30" t="str">
        <f aca="false">IF($A52="","",COUNTIFS(Triagem!$B:$B,$A52))</f>
        <v/>
      </c>
      <c r="F52" s="30" t="str">
        <f aca="false">IF($A52="","",COUNTIFS(Triagem!$B:$B,$A52,Triagem!$F:$F,"A"))</f>
        <v/>
      </c>
      <c r="G52" s="30" t="str">
        <f aca="false">IF($A52="","",COUNTIFS(Triagem!$B:$B,$A52,Triagem!$F:$F,"B"))</f>
        <v/>
      </c>
      <c r="H52" s="30" t="str">
        <f aca="false">IF($A52="","",COUNTIFS(Triagem!$B:$B,$A52,Triagem!$F:$F,"C"))</f>
        <v/>
      </c>
      <c r="I52" s="30" t="str">
        <f aca="false">IF($A52="","",COUNTIFS(Triagem!$B:$B,$A52,Triagem!$F:$F,"D"))</f>
        <v/>
      </c>
      <c r="J52" s="35" t="str">
        <f aca="false">IF($A52="","",Parametros!$C$6)</f>
        <v/>
      </c>
      <c r="K52" s="35" t="str">
        <f aca="false">IF($A52="","",$G52*Parametros!$C$7)</f>
        <v/>
      </c>
      <c r="L52" s="35" t="str">
        <f aca="false">IF($A52="","",SUMIFS(Triagem!$R:$R,Triagem!$B:$B,$A52))</f>
        <v/>
      </c>
      <c r="M52" s="35" t="str">
        <f aca="false">IF($A52="","",IF($C52="PJ",Parametros!$C$9,Parametros!$C$8))</f>
        <v/>
      </c>
      <c r="N52" s="35" t="str">
        <f aca="false">IF($A52="","",$J52+$K52+$L52)</f>
        <v/>
      </c>
      <c r="O52" s="31" t="str">
        <f aca="false">IF($A52="","",IFERROR(COUNTIFS(Triagem!$B:$B,$A52,Triagem!$M:$M,"VERIFICADO")/COUNTIFS(Triagem!$B:$B,$A52,Triagem!$Q:$Q,"SIM"),""))</f>
        <v/>
      </c>
      <c r="P52" s="31" t="str">
        <f aca="false">IF($A52="","",IFERROR(SUMIFS(Triagem!$I:$I,Triagem!$B:$B,$A52,Triagem!$Q:$Q,"SIM")/COUNTIFS(Triagem!$B:$B,$A52,Triagem!$Q:$Q,"SIM"),""))</f>
        <v/>
      </c>
    </row>
    <row r="53" customFormat="false" ht="15" hidden="false" customHeight="false" outlineLevel="0" collapsed="false">
      <c r="A53" s="29"/>
      <c r="B53" s="29"/>
      <c r="C53" s="29"/>
      <c r="D53" s="33"/>
      <c r="E53" s="30" t="str">
        <f aca="false">IF($A53="","",COUNTIFS(Triagem!$B:$B,$A53))</f>
        <v/>
      </c>
      <c r="F53" s="30" t="str">
        <f aca="false">IF($A53="","",COUNTIFS(Triagem!$B:$B,$A53,Triagem!$F:$F,"A"))</f>
        <v/>
      </c>
      <c r="G53" s="30" t="str">
        <f aca="false">IF($A53="","",COUNTIFS(Triagem!$B:$B,$A53,Triagem!$F:$F,"B"))</f>
        <v/>
      </c>
      <c r="H53" s="30" t="str">
        <f aca="false">IF($A53="","",COUNTIFS(Triagem!$B:$B,$A53,Triagem!$F:$F,"C"))</f>
        <v/>
      </c>
      <c r="I53" s="30" t="str">
        <f aca="false">IF($A53="","",COUNTIFS(Triagem!$B:$B,$A53,Triagem!$F:$F,"D"))</f>
        <v/>
      </c>
      <c r="J53" s="35" t="str">
        <f aca="false">IF($A53="","",Parametros!$C$6)</f>
        <v/>
      </c>
      <c r="K53" s="35" t="str">
        <f aca="false">IF($A53="","",$G53*Parametros!$C$7)</f>
        <v/>
      </c>
      <c r="L53" s="35" t="str">
        <f aca="false">IF($A53="","",SUMIFS(Triagem!$R:$R,Triagem!$B:$B,$A53))</f>
        <v/>
      </c>
      <c r="M53" s="35" t="str">
        <f aca="false">IF($A53="","",IF($C53="PJ",Parametros!$C$9,Parametros!$C$8))</f>
        <v/>
      </c>
      <c r="N53" s="35" t="str">
        <f aca="false">IF($A53="","",$J53+$K53+$L53)</f>
        <v/>
      </c>
      <c r="O53" s="31" t="str">
        <f aca="false">IF($A53="","",IFERROR(COUNTIFS(Triagem!$B:$B,$A53,Triagem!$M:$M,"VERIFICADO")/COUNTIFS(Triagem!$B:$B,$A53,Triagem!$Q:$Q,"SIM"),""))</f>
        <v/>
      </c>
      <c r="P53" s="31" t="str">
        <f aca="false">IF($A53="","",IFERROR(SUMIFS(Triagem!$I:$I,Triagem!$B:$B,$A53,Triagem!$Q:$Q,"SIM")/COUNTIFS(Triagem!$B:$B,$A53,Triagem!$Q:$Q,"SIM"),""))</f>
        <v/>
      </c>
    </row>
    <row r="54" customFormat="false" ht="15" hidden="false" customHeight="false" outlineLevel="0" collapsed="false">
      <c r="A54" s="29"/>
      <c r="B54" s="29"/>
      <c r="C54" s="29"/>
      <c r="D54" s="33"/>
      <c r="E54" s="30" t="str">
        <f aca="false">IF($A54="","",COUNTIFS(Triagem!$B:$B,$A54))</f>
        <v/>
      </c>
      <c r="F54" s="30" t="str">
        <f aca="false">IF($A54="","",COUNTIFS(Triagem!$B:$B,$A54,Triagem!$F:$F,"A"))</f>
        <v/>
      </c>
      <c r="G54" s="30" t="str">
        <f aca="false">IF($A54="","",COUNTIFS(Triagem!$B:$B,$A54,Triagem!$F:$F,"B"))</f>
        <v/>
      </c>
      <c r="H54" s="30" t="str">
        <f aca="false">IF($A54="","",COUNTIFS(Triagem!$B:$B,$A54,Triagem!$F:$F,"C"))</f>
        <v/>
      </c>
      <c r="I54" s="30" t="str">
        <f aca="false">IF($A54="","",COUNTIFS(Triagem!$B:$B,$A54,Triagem!$F:$F,"D"))</f>
        <v/>
      </c>
      <c r="J54" s="35" t="str">
        <f aca="false">IF($A54="","",Parametros!$C$6)</f>
        <v/>
      </c>
      <c r="K54" s="35" t="str">
        <f aca="false">IF($A54="","",$G54*Parametros!$C$7)</f>
        <v/>
      </c>
      <c r="L54" s="35" t="str">
        <f aca="false">IF($A54="","",SUMIFS(Triagem!$R:$R,Triagem!$B:$B,$A54))</f>
        <v/>
      </c>
      <c r="M54" s="35" t="str">
        <f aca="false">IF($A54="","",IF($C54="PJ",Parametros!$C$9,Parametros!$C$8))</f>
        <v/>
      </c>
      <c r="N54" s="35" t="str">
        <f aca="false">IF($A54="","",$J54+$K54+$L54)</f>
        <v/>
      </c>
      <c r="O54" s="31" t="str">
        <f aca="false">IF($A54="","",IFERROR(COUNTIFS(Triagem!$B:$B,$A54,Triagem!$M:$M,"VERIFICADO")/COUNTIFS(Triagem!$B:$B,$A54,Triagem!$Q:$Q,"SIM"),""))</f>
        <v/>
      </c>
      <c r="P54" s="31" t="str">
        <f aca="false">IF($A54="","",IFERROR(SUMIFS(Triagem!$I:$I,Triagem!$B:$B,$A54,Triagem!$Q:$Q,"SIM")/COUNTIFS(Triagem!$B:$B,$A54,Triagem!$Q:$Q,"SIM"),""))</f>
        <v/>
      </c>
    </row>
    <row r="55" customFormat="false" ht="15" hidden="false" customHeight="false" outlineLevel="0" collapsed="false">
      <c r="A55" s="29"/>
      <c r="B55" s="29"/>
      <c r="C55" s="29"/>
      <c r="D55" s="33"/>
      <c r="E55" s="30" t="str">
        <f aca="false">IF($A55="","",COUNTIFS(Triagem!$B:$B,$A55))</f>
        <v/>
      </c>
      <c r="F55" s="30" t="str">
        <f aca="false">IF($A55="","",COUNTIFS(Triagem!$B:$B,$A55,Triagem!$F:$F,"A"))</f>
        <v/>
      </c>
      <c r="G55" s="30" t="str">
        <f aca="false">IF($A55="","",COUNTIFS(Triagem!$B:$B,$A55,Triagem!$F:$F,"B"))</f>
        <v/>
      </c>
      <c r="H55" s="30" t="str">
        <f aca="false">IF($A55="","",COUNTIFS(Triagem!$B:$B,$A55,Triagem!$F:$F,"C"))</f>
        <v/>
      </c>
      <c r="I55" s="30" t="str">
        <f aca="false">IF($A55="","",COUNTIFS(Triagem!$B:$B,$A55,Triagem!$F:$F,"D"))</f>
        <v/>
      </c>
      <c r="J55" s="35" t="str">
        <f aca="false">IF($A55="","",Parametros!$C$6)</f>
        <v/>
      </c>
      <c r="K55" s="35" t="str">
        <f aca="false">IF($A55="","",$G55*Parametros!$C$7)</f>
        <v/>
      </c>
      <c r="L55" s="35" t="str">
        <f aca="false">IF($A55="","",SUMIFS(Triagem!$R:$R,Triagem!$B:$B,$A55))</f>
        <v/>
      </c>
      <c r="M55" s="35" t="str">
        <f aca="false">IF($A55="","",IF($C55="PJ",Parametros!$C$9,Parametros!$C$8))</f>
        <v/>
      </c>
      <c r="N55" s="35" t="str">
        <f aca="false">IF($A55="","",$J55+$K55+$L55)</f>
        <v/>
      </c>
      <c r="O55" s="31" t="str">
        <f aca="false">IF($A55="","",IFERROR(COUNTIFS(Triagem!$B:$B,$A55,Triagem!$M:$M,"VERIFICADO")/COUNTIFS(Triagem!$B:$B,$A55,Triagem!$Q:$Q,"SIM"),""))</f>
        <v/>
      </c>
      <c r="P55" s="31" t="str">
        <f aca="false">IF($A55="","",IFERROR(SUMIFS(Triagem!$I:$I,Triagem!$B:$B,$A55,Triagem!$Q:$Q,"SIM")/COUNTIFS(Triagem!$B:$B,$A55,Triagem!$Q:$Q,"SIM"),""))</f>
        <v/>
      </c>
    </row>
    <row r="56" customFormat="false" ht="15" hidden="false" customHeight="false" outlineLevel="0" collapsed="false">
      <c r="A56" s="29"/>
      <c r="B56" s="29"/>
      <c r="C56" s="29"/>
      <c r="D56" s="33"/>
      <c r="E56" s="30" t="str">
        <f aca="false">IF($A56="","",COUNTIFS(Triagem!$B:$B,$A56))</f>
        <v/>
      </c>
      <c r="F56" s="30" t="str">
        <f aca="false">IF($A56="","",COUNTIFS(Triagem!$B:$B,$A56,Triagem!$F:$F,"A"))</f>
        <v/>
      </c>
      <c r="G56" s="30" t="str">
        <f aca="false">IF($A56="","",COUNTIFS(Triagem!$B:$B,$A56,Triagem!$F:$F,"B"))</f>
        <v/>
      </c>
      <c r="H56" s="30" t="str">
        <f aca="false">IF($A56="","",COUNTIFS(Triagem!$B:$B,$A56,Triagem!$F:$F,"C"))</f>
        <v/>
      </c>
      <c r="I56" s="30" t="str">
        <f aca="false">IF($A56="","",COUNTIFS(Triagem!$B:$B,$A56,Triagem!$F:$F,"D"))</f>
        <v/>
      </c>
      <c r="J56" s="35" t="str">
        <f aca="false">IF($A56="","",Parametros!$C$6)</f>
        <v/>
      </c>
      <c r="K56" s="35" t="str">
        <f aca="false">IF($A56="","",$G56*Parametros!$C$7)</f>
        <v/>
      </c>
      <c r="L56" s="35" t="str">
        <f aca="false">IF($A56="","",SUMIFS(Triagem!$R:$R,Triagem!$B:$B,$A56))</f>
        <v/>
      </c>
      <c r="M56" s="35" t="str">
        <f aca="false">IF($A56="","",IF($C56="PJ",Parametros!$C$9,Parametros!$C$8))</f>
        <v/>
      </c>
      <c r="N56" s="35" t="str">
        <f aca="false">IF($A56="","",$J56+$K56+$L56)</f>
        <v/>
      </c>
      <c r="O56" s="31" t="str">
        <f aca="false">IF($A56="","",IFERROR(COUNTIFS(Triagem!$B:$B,$A56,Triagem!$M:$M,"VERIFICADO")/COUNTIFS(Triagem!$B:$B,$A56,Triagem!$Q:$Q,"SIM"),""))</f>
        <v/>
      </c>
      <c r="P56" s="31" t="str">
        <f aca="false">IF($A56="","",IFERROR(SUMIFS(Triagem!$I:$I,Triagem!$B:$B,$A56,Triagem!$Q:$Q,"SIM")/COUNTIFS(Triagem!$B:$B,$A56,Triagem!$Q:$Q,"SIM"),""))</f>
        <v/>
      </c>
    </row>
    <row r="57" customFormat="false" ht="15" hidden="false" customHeight="false" outlineLevel="0" collapsed="false">
      <c r="A57" s="29"/>
      <c r="B57" s="29"/>
      <c r="C57" s="29"/>
      <c r="D57" s="33"/>
      <c r="E57" s="30" t="str">
        <f aca="false">IF($A57="","",COUNTIFS(Triagem!$B:$B,$A57))</f>
        <v/>
      </c>
      <c r="F57" s="30" t="str">
        <f aca="false">IF($A57="","",COUNTIFS(Triagem!$B:$B,$A57,Triagem!$F:$F,"A"))</f>
        <v/>
      </c>
      <c r="G57" s="30" t="str">
        <f aca="false">IF($A57="","",COUNTIFS(Triagem!$B:$B,$A57,Triagem!$F:$F,"B"))</f>
        <v/>
      </c>
      <c r="H57" s="30" t="str">
        <f aca="false">IF($A57="","",COUNTIFS(Triagem!$B:$B,$A57,Triagem!$F:$F,"C"))</f>
        <v/>
      </c>
      <c r="I57" s="30" t="str">
        <f aca="false">IF($A57="","",COUNTIFS(Triagem!$B:$B,$A57,Triagem!$F:$F,"D"))</f>
        <v/>
      </c>
      <c r="J57" s="35" t="str">
        <f aca="false">IF($A57="","",Parametros!$C$6)</f>
        <v/>
      </c>
      <c r="K57" s="35" t="str">
        <f aca="false">IF($A57="","",$G57*Parametros!$C$7)</f>
        <v/>
      </c>
      <c r="L57" s="35" t="str">
        <f aca="false">IF($A57="","",SUMIFS(Triagem!$R:$R,Triagem!$B:$B,$A57))</f>
        <v/>
      </c>
      <c r="M57" s="35" t="str">
        <f aca="false">IF($A57="","",IF($C57="PJ",Parametros!$C$9,Parametros!$C$8))</f>
        <v/>
      </c>
      <c r="N57" s="35" t="str">
        <f aca="false">IF($A57="","",$J57+$K57+$L57)</f>
        <v/>
      </c>
      <c r="O57" s="31" t="str">
        <f aca="false">IF($A57="","",IFERROR(COUNTIFS(Triagem!$B:$B,$A57,Triagem!$M:$M,"VERIFICADO")/COUNTIFS(Triagem!$B:$B,$A57,Triagem!$Q:$Q,"SIM"),""))</f>
        <v/>
      </c>
      <c r="P57" s="31" t="str">
        <f aca="false">IF($A57="","",IFERROR(SUMIFS(Triagem!$I:$I,Triagem!$B:$B,$A57,Triagem!$Q:$Q,"SIM")/COUNTIFS(Triagem!$B:$B,$A57,Triagem!$Q:$Q,"SIM"),""))</f>
        <v/>
      </c>
    </row>
    <row r="58" customFormat="false" ht="15" hidden="false" customHeight="false" outlineLevel="0" collapsed="false">
      <c r="A58" s="29"/>
      <c r="B58" s="29"/>
      <c r="C58" s="29"/>
      <c r="D58" s="33"/>
      <c r="E58" s="30" t="str">
        <f aca="false">IF($A58="","",COUNTIFS(Triagem!$B:$B,$A58))</f>
        <v/>
      </c>
      <c r="F58" s="30" t="str">
        <f aca="false">IF($A58="","",COUNTIFS(Triagem!$B:$B,$A58,Triagem!$F:$F,"A"))</f>
        <v/>
      </c>
      <c r="G58" s="30" t="str">
        <f aca="false">IF($A58="","",COUNTIFS(Triagem!$B:$B,$A58,Triagem!$F:$F,"B"))</f>
        <v/>
      </c>
      <c r="H58" s="30" t="str">
        <f aca="false">IF($A58="","",COUNTIFS(Triagem!$B:$B,$A58,Triagem!$F:$F,"C"))</f>
        <v/>
      </c>
      <c r="I58" s="30" t="str">
        <f aca="false">IF($A58="","",COUNTIFS(Triagem!$B:$B,$A58,Triagem!$F:$F,"D"))</f>
        <v/>
      </c>
      <c r="J58" s="35" t="str">
        <f aca="false">IF($A58="","",Parametros!$C$6)</f>
        <v/>
      </c>
      <c r="K58" s="35" t="str">
        <f aca="false">IF($A58="","",$G58*Parametros!$C$7)</f>
        <v/>
      </c>
      <c r="L58" s="35" t="str">
        <f aca="false">IF($A58="","",SUMIFS(Triagem!$R:$R,Triagem!$B:$B,$A58))</f>
        <v/>
      </c>
      <c r="M58" s="35" t="str">
        <f aca="false">IF($A58="","",IF($C58="PJ",Parametros!$C$9,Parametros!$C$8))</f>
        <v/>
      </c>
      <c r="N58" s="35" t="str">
        <f aca="false">IF($A58="","",$J58+$K58+$L58)</f>
        <v/>
      </c>
      <c r="O58" s="31" t="str">
        <f aca="false">IF($A58="","",IFERROR(COUNTIFS(Triagem!$B:$B,$A58,Triagem!$M:$M,"VERIFICADO")/COUNTIFS(Triagem!$B:$B,$A58,Triagem!$Q:$Q,"SIM"),""))</f>
        <v/>
      </c>
      <c r="P58" s="31" t="str">
        <f aca="false">IF($A58="","",IFERROR(SUMIFS(Triagem!$I:$I,Triagem!$B:$B,$A58,Triagem!$Q:$Q,"SIM")/COUNTIFS(Triagem!$B:$B,$A58,Triagem!$Q:$Q,"SIM"),""))</f>
        <v/>
      </c>
    </row>
    <row r="59" customFormat="false" ht="15" hidden="false" customHeight="false" outlineLevel="0" collapsed="false">
      <c r="A59" s="29"/>
      <c r="B59" s="29"/>
      <c r="C59" s="29"/>
      <c r="D59" s="33"/>
      <c r="E59" s="30" t="str">
        <f aca="false">IF($A59="","",COUNTIFS(Triagem!$B:$B,$A59))</f>
        <v/>
      </c>
      <c r="F59" s="30" t="str">
        <f aca="false">IF($A59="","",COUNTIFS(Triagem!$B:$B,$A59,Triagem!$F:$F,"A"))</f>
        <v/>
      </c>
      <c r="G59" s="30" t="str">
        <f aca="false">IF($A59="","",COUNTIFS(Triagem!$B:$B,$A59,Triagem!$F:$F,"B"))</f>
        <v/>
      </c>
      <c r="H59" s="30" t="str">
        <f aca="false">IF($A59="","",COUNTIFS(Triagem!$B:$B,$A59,Triagem!$F:$F,"C"))</f>
        <v/>
      </c>
      <c r="I59" s="30" t="str">
        <f aca="false">IF($A59="","",COUNTIFS(Triagem!$B:$B,$A59,Triagem!$F:$F,"D"))</f>
        <v/>
      </c>
      <c r="J59" s="35" t="str">
        <f aca="false">IF($A59="","",Parametros!$C$6)</f>
        <v/>
      </c>
      <c r="K59" s="35" t="str">
        <f aca="false">IF($A59="","",$G59*Parametros!$C$7)</f>
        <v/>
      </c>
      <c r="L59" s="35" t="str">
        <f aca="false">IF($A59="","",SUMIFS(Triagem!$R:$R,Triagem!$B:$B,$A59))</f>
        <v/>
      </c>
      <c r="M59" s="35" t="str">
        <f aca="false">IF($A59="","",IF($C59="PJ",Parametros!$C$9,Parametros!$C$8))</f>
        <v/>
      </c>
      <c r="N59" s="35" t="str">
        <f aca="false">IF($A59="","",$J59+$K59+$L59)</f>
        <v/>
      </c>
      <c r="O59" s="31" t="str">
        <f aca="false">IF($A59="","",IFERROR(COUNTIFS(Triagem!$B:$B,$A59,Triagem!$M:$M,"VERIFICADO")/COUNTIFS(Triagem!$B:$B,$A59,Triagem!$Q:$Q,"SIM"),""))</f>
        <v/>
      </c>
      <c r="P59" s="31" t="str">
        <f aca="false">IF($A59="","",IFERROR(SUMIFS(Triagem!$I:$I,Triagem!$B:$B,$A59,Triagem!$Q:$Q,"SIM")/COUNTIFS(Triagem!$B:$B,$A59,Triagem!$Q:$Q,"SIM"),""))</f>
        <v/>
      </c>
    </row>
    <row r="60" customFormat="false" ht="15" hidden="false" customHeight="false" outlineLevel="0" collapsed="false">
      <c r="A60" s="29"/>
      <c r="B60" s="29"/>
      <c r="C60" s="29"/>
      <c r="D60" s="33"/>
      <c r="E60" s="30" t="str">
        <f aca="false">IF($A60="","",COUNTIFS(Triagem!$B:$B,$A60))</f>
        <v/>
      </c>
      <c r="F60" s="30" t="str">
        <f aca="false">IF($A60="","",COUNTIFS(Triagem!$B:$B,$A60,Triagem!$F:$F,"A"))</f>
        <v/>
      </c>
      <c r="G60" s="30" t="str">
        <f aca="false">IF($A60="","",COUNTIFS(Triagem!$B:$B,$A60,Triagem!$F:$F,"B"))</f>
        <v/>
      </c>
      <c r="H60" s="30" t="str">
        <f aca="false">IF($A60="","",COUNTIFS(Triagem!$B:$B,$A60,Triagem!$F:$F,"C"))</f>
        <v/>
      </c>
      <c r="I60" s="30" t="str">
        <f aca="false">IF($A60="","",COUNTIFS(Triagem!$B:$B,$A60,Triagem!$F:$F,"D"))</f>
        <v/>
      </c>
      <c r="J60" s="35" t="str">
        <f aca="false">IF($A60="","",Parametros!$C$6)</f>
        <v/>
      </c>
      <c r="K60" s="35" t="str">
        <f aca="false">IF($A60="","",$G60*Parametros!$C$7)</f>
        <v/>
      </c>
      <c r="L60" s="35" t="str">
        <f aca="false">IF($A60="","",SUMIFS(Triagem!$R:$R,Triagem!$B:$B,$A60))</f>
        <v/>
      </c>
      <c r="M60" s="35" t="str">
        <f aca="false">IF($A60="","",IF($C60="PJ",Parametros!$C$9,Parametros!$C$8))</f>
        <v/>
      </c>
      <c r="N60" s="35" t="str">
        <f aca="false">IF($A60="","",$J60+$K60+$L60)</f>
        <v/>
      </c>
      <c r="O60" s="31" t="str">
        <f aca="false">IF($A60="","",IFERROR(COUNTIFS(Triagem!$B:$B,$A60,Triagem!$M:$M,"VERIFICADO")/COUNTIFS(Triagem!$B:$B,$A60,Triagem!$Q:$Q,"SIM"),""))</f>
        <v/>
      </c>
      <c r="P60" s="31" t="str">
        <f aca="false">IF($A60="","",IFERROR(SUMIFS(Triagem!$I:$I,Triagem!$B:$B,$A60,Triagem!$Q:$Q,"SIM")/COUNTIFS(Triagem!$B:$B,$A60,Triagem!$Q:$Q,"SIM"),""))</f>
        <v/>
      </c>
    </row>
    <row r="61" customFormat="false" ht="15" hidden="false" customHeight="false" outlineLevel="0" collapsed="false">
      <c r="A61" s="29"/>
      <c r="B61" s="29"/>
      <c r="C61" s="29"/>
      <c r="D61" s="33"/>
      <c r="E61" s="30" t="str">
        <f aca="false">IF($A61="","",COUNTIFS(Triagem!$B:$B,$A61))</f>
        <v/>
      </c>
      <c r="F61" s="30" t="str">
        <f aca="false">IF($A61="","",COUNTIFS(Triagem!$B:$B,$A61,Triagem!$F:$F,"A"))</f>
        <v/>
      </c>
      <c r="G61" s="30" t="str">
        <f aca="false">IF($A61="","",COUNTIFS(Triagem!$B:$B,$A61,Triagem!$F:$F,"B"))</f>
        <v/>
      </c>
      <c r="H61" s="30" t="str">
        <f aca="false">IF($A61="","",COUNTIFS(Triagem!$B:$B,$A61,Triagem!$F:$F,"C"))</f>
        <v/>
      </c>
      <c r="I61" s="30" t="str">
        <f aca="false">IF($A61="","",COUNTIFS(Triagem!$B:$B,$A61,Triagem!$F:$F,"D"))</f>
        <v/>
      </c>
      <c r="J61" s="35" t="str">
        <f aca="false">IF($A61="","",Parametros!$C$6)</f>
        <v/>
      </c>
      <c r="K61" s="35" t="str">
        <f aca="false">IF($A61="","",$G61*Parametros!$C$7)</f>
        <v/>
      </c>
      <c r="L61" s="35" t="str">
        <f aca="false">IF($A61="","",SUMIFS(Triagem!$R:$R,Triagem!$B:$B,$A61))</f>
        <v/>
      </c>
      <c r="M61" s="35" t="str">
        <f aca="false">IF($A61="","",IF($C61="PJ",Parametros!$C$9,Parametros!$C$8))</f>
        <v/>
      </c>
      <c r="N61" s="35" t="str">
        <f aca="false">IF($A61="","",$J61+$K61+$L61)</f>
        <v/>
      </c>
      <c r="O61" s="31" t="str">
        <f aca="false">IF($A61="","",IFERROR(COUNTIFS(Triagem!$B:$B,$A61,Triagem!$M:$M,"VERIFICADO")/COUNTIFS(Triagem!$B:$B,$A61,Triagem!$Q:$Q,"SIM"),""))</f>
        <v/>
      </c>
      <c r="P61" s="31" t="str">
        <f aca="false">IF($A61="","",IFERROR(SUMIFS(Triagem!$I:$I,Triagem!$B:$B,$A61,Triagem!$Q:$Q,"SIM")/COUNTIFS(Triagem!$B:$B,$A61,Triagem!$Q:$Q,"SIM"),""))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58"/>
  </cols>
  <sheetData>
    <row r="1" customFormat="false" ht="16.15" hidden="false" customHeight="false" outlineLevel="0" collapsed="false">
      <c r="B1" s="1" t="s">
        <v>242</v>
      </c>
    </row>
    <row r="2" customFormat="false" ht="15" hidden="false" customHeight="false" outlineLevel="0" collapsed="false">
      <c r="B2" s="7" t="s">
        <v>243</v>
      </c>
    </row>
    <row r="4" customFormat="false" ht="15" hidden="false" customHeight="false" outlineLevel="0" collapsed="false">
      <c r="B4" s="37" t="s">
        <v>244</v>
      </c>
      <c r="C4" s="38"/>
    </row>
    <row r="5" customFormat="false" ht="15" hidden="false" customHeight="false" outlineLevel="0" collapsed="false">
      <c r="B5" s="9" t="s">
        <v>245</v>
      </c>
      <c r="C5" s="39" t="n">
        <f aca="false">COUNTA(Triagem!$A$2:$A$201)</f>
        <v>3</v>
      </c>
      <c r="E5" s="40" t="s">
        <v>246</v>
      </c>
    </row>
    <row r="6" customFormat="false" ht="15" hidden="false" customHeight="false" outlineLevel="0" collapsed="false">
      <c r="B6" s="9" t="s">
        <v>247</v>
      </c>
      <c r="C6" s="39" t="n">
        <f aca="false">COUNTIF(Triagem!$Q$2:$Q$201,"SIM")</f>
        <v>2</v>
      </c>
      <c r="E6" s="40" t="s">
        <v>248</v>
      </c>
    </row>
    <row r="7" customFormat="false" ht="15" hidden="false" customHeight="false" outlineLevel="0" collapsed="false">
      <c r="B7" s="9" t="s">
        <v>249</v>
      </c>
      <c r="C7" s="39" t="n">
        <f aca="false">COUNTIF(Triagem!$Q$2:$Q$201,"NAO")</f>
        <v>1</v>
      </c>
      <c r="E7" s="40" t="s">
        <v>250</v>
      </c>
    </row>
    <row r="8" customFormat="false" ht="15" hidden="false" customHeight="false" outlineLevel="0" collapsed="false">
      <c r="B8" s="9" t="s">
        <v>251</v>
      </c>
      <c r="C8" s="39" t="n">
        <f aca="false">COUNTIF(Triagem!$M$2:$M$201,"VERIFICADO")</f>
        <v>1</v>
      </c>
      <c r="E8" s="40" t="s">
        <v>252</v>
      </c>
    </row>
    <row r="9" customFormat="false" ht="15" hidden="false" customHeight="false" outlineLevel="0" collapsed="false">
      <c r="B9" s="9" t="s">
        <v>253</v>
      </c>
      <c r="C9" s="39" t="n">
        <f aca="false">COUNTIF(Triagem!$M$2:$M$201,"INDEFERIDO")</f>
        <v>0</v>
      </c>
      <c r="E9" s="40" t="s">
        <v>254</v>
      </c>
    </row>
    <row r="10" customFormat="false" ht="15" hidden="false" customHeight="false" outlineLevel="0" collapsed="false">
      <c r="B10" s="9" t="s">
        <v>255</v>
      </c>
      <c r="C10" s="39" t="n">
        <f aca="false">COUNTIF(Triagem!$M$2:$M$201,"TRIADO")+COUNTIF(Triagem!$M$2:$M$201,"PROTOCOLADO")+COUNTIF(Triagem!$M$2:$M$201,"EM ANALISE")</f>
        <v>1</v>
      </c>
      <c r="E10" s="40" t="s">
        <v>256</v>
      </c>
    </row>
    <row r="11" customFormat="false" ht="15" hidden="false" customHeight="false" outlineLevel="0" collapsed="false">
      <c r="B11" s="9" t="s">
        <v>257</v>
      </c>
      <c r="C11" s="39" t="n">
        <f aca="true">SUMPRODUCT((Triagem!$L$2:$L$201&lt;&gt;"")*(Triagem!$L$2:$L$201&lt;TODAY())*(Triagem!$M$2:$M$201&lt;&gt;"VERIFICADO")*(Triagem!$M$2:$M$201&lt;&gt;"ENCERRADO")*(Triagem!$M$2:$M$201&lt;&gt;"RECUSADO"))</f>
        <v>0</v>
      </c>
      <c r="E11" s="40" t="s">
        <v>258</v>
      </c>
    </row>
    <row r="13" customFormat="false" ht="15" hidden="false" customHeight="false" outlineLevel="0" collapsed="false">
      <c r="B13" s="37" t="s">
        <v>259</v>
      </c>
      <c r="C13" s="38"/>
    </row>
    <row r="14" customFormat="false" ht="15" hidden="false" customHeight="false" outlineLevel="0" collapsed="false">
      <c r="B14" s="9" t="s">
        <v>260</v>
      </c>
      <c r="C14" s="41" t="n">
        <f aca="false">IFERROR(COUNTIF(Triagem!$M$2:$M$201,"VERIFICADO")/COUNTIF(Triagem!$Q$2:$Q$201,"SIM"),"")</f>
        <v>0.5</v>
      </c>
      <c r="E14" s="40" t="s">
        <v>261</v>
      </c>
    </row>
    <row r="15" customFormat="false" ht="15" hidden="false" customHeight="false" outlineLevel="0" collapsed="false">
      <c r="B15" s="9" t="s">
        <v>262</v>
      </c>
      <c r="C15" s="41" t="n">
        <f aca="false">IFERROR(SUMIFS(Triagem!$I$2:$I$201,Triagem!$Q$2:$Q$201,"SIM")/COUNTIF(Triagem!$Q$2:$Q$201,"SIM"),"")</f>
        <v>0.7375</v>
      </c>
      <c r="E15" s="40" t="s">
        <v>263</v>
      </c>
    </row>
    <row r="16" customFormat="false" ht="15" hidden="false" customHeight="false" outlineLevel="0" collapsed="false">
      <c r="B16" s="9" t="s">
        <v>264</v>
      </c>
      <c r="C16" s="41" t="n">
        <f aca="false">IFERROR($C$14-$C$15,"")</f>
        <v>-0.2375</v>
      </c>
      <c r="E16" s="40" t="s">
        <v>265</v>
      </c>
    </row>
    <row r="17" customFormat="false" ht="15" hidden="false" customHeight="false" outlineLevel="0" collapsed="false">
      <c r="B17" s="9" t="s">
        <v>266</v>
      </c>
      <c r="C17" s="41" t="n">
        <f aca="false">IFERROR(COUNTIFS(Triagem!$F$2:$F$201,"A",Triagem!$M$2:$M$201,"VERIFICADO")/COUNTIF(Triagem!$F$2:$F$201,"A"),"")</f>
        <v>1</v>
      </c>
      <c r="E17" s="40" t="s">
        <v>267</v>
      </c>
    </row>
    <row r="18" customFormat="false" ht="15" hidden="false" customHeight="false" outlineLevel="0" collapsed="false">
      <c r="B18" s="9" t="s">
        <v>268</v>
      </c>
      <c r="C18" s="41" t="n">
        <f aca="false">IFERROR(COUNTIFS(Triagem!$F$2:$F$201,"B",Triagem!$M$2:$M$201,"VERIFICADO")/COUNTIF(Triagem!$F$2:$F$201,"B"),"")</f>
        <v>0</v>
      </c>
      <c r="E18" s="40" t="s">
        <v>269</v>
      </c>
    </row>
    <row r="19" customFormat="false" ht="15" hidden="false" customHeight="false" outlineLevel="0" collapsed="false">
      <c r="B19" s="9" t="s">
        <v>270</v>
      </c>
      <c r="C19" s="41" t="str">
        <f aca="false">IFERROR(COUNTIFS(Triagem!$F$2:$F$201,"C",Triagem!$M$2:$M$201,"VERIFICADO")/COUNTIF(Triagem!$F$2:$F$201,"C"),"")</f>
        <v/>
      </c>
      <c r="E19" s="40" t="s">
        <v>271</v>
      </c>
    </row>
    <row r="21" customFormat="false" ht="15" hidden="false" customHeight="false" outlineLevel="0" collapsed="false">
      <c r="B21" s="37" t="s">
        <v>272</v>
      </c>
      <c r="C21" s="38"/>
    </row>
    <row r="22" customFormat="false" ht="15" hidden="false" customHeight="false" outlineLevel="0" collapsed="false">
      <c r="B22" s="9" t="s">
        <v>273</v>
      </c>
      <c r="C22" s="39" t="n">
        <f aca="false">COUNTA(Casos!$A$2:$A$61)</f>
        <v>1</v>
      </c>
      <c r="E22" s="40"/>
    </row>
    <row r="23" customFormat="false" ht="15" hidden="false" customHeight="false" outlineLevel="0" collapsed="false">
      <c r="B23" s="9" t="s">
        <v>274</v>
      </c>
      <c r="C23" s="42" t="n">
        <f aca="false">SUMIF(Casos!$A$2:$A$61,"&lt;&gt;",Casos!$J$2:$J$61)</f>
        <v>197</v>
      </c>
      <c r="E23" s="40" t="s">
        <v>275</v>
      </c>
    </row>
    <row r="24" customFormat="false" ht="15" hidden="false" customHeight="false" outlineLevel="0" collapsed="false">
      <c r="B24" s="9" t="s">
        <v>276</v>
      </c>
      <c r="C24" s="42" t="n">
        <f aca="false">SUM(Casos!$K$2:$K$61)</f>
        <v>300</v>
      </c>
      <c r="E24" s="40" t="s">
        <v>277</v>
      </c>
    </row>
    <row r="25" customFormat="false" ht="15" hidden="false" customHeight="false" outlineLevel="0" collapsed="false">
      <c r="B25" s="9" t="s">
        <v>278</v>
      </c>
      <c r="C25" s="42" t="n">
        <f aca="false">SUM(Triagem!$R$2:$R$201)</f>
        <v>650</v>
      </c>
      <c r="E25" s="40" t="s">
        <v>279</v>
      </c>
    </row>
    <row r="26" customFormat="false" ht="15" hidden="false" customHeight="false" outlineLevel="0" collapsed="false">
      <c r="B26" s="9" t="s">
        <v>280</v>
      </c>
      <c r="C26" s="42" t="n">
        <f aca="false">$C$23+$C$24+$C$25</f>
        <v>1147</v>
      </c>
      <c r="E26" s="40" t="s">
        <v>281</v>
      </c>
    </row>
    <row r="27" customFormat="false" ht="15" hidden="false" customHeight="false" outlineLevel="0" collapsed="false">
      <c r="B27" s="9" t="s">
        <v>282</v>
      </c>
      <c r="C27" s="42" t="n">
        <f aca="false">SUM(Casos!$M$2:$M$61)</f>
        <v>79</v>
      </c>
      <c r="E27" s="40" t="s">
        <v>283</v>
      </c>
    </row>
    <row r="28" customFormat="false" ht="15" hidden="false" customHeight="false" outlineLevel="0" collapsed="false">
      <c r="B28" s="9" t="s">
        <v>284</v>
      </c>
      <c r="C28" s="43" t="n">
        <f aca="false">IFERROR($C$5/$C$22,"")</f>
        <v>3</v>
      </c>
      <c r="E28" s="40" t="s">
        <v>285</v>
      </c>
    </row>
    <row r="29" customFormat="false" ht="15" hidden="false" customHeight="false" outlineLevel="0" collapsed="false">
      <c r="B29" s="9" t="s">
        <v>286</v>
      </c>
      <c r="C29" s="42" t="n">
        <f aca="false">IFERROR($C$26/$C$22,"")</f>
        <v>1147</v>
      </c>
      <c r="E29" s="40"/>
    </row>
    <row r="31" customFormat="false" ht="15" hidden="false" customHeight="true" outlineLevel="0" collapsed="false">
      <c r="B31" s="44" t="s">
        <v>287</v>
      </c>
      <c r="C31" s="44"/>
      <c r="D31" s="44"/>
      <c r="E31" s="44"/>
    </row>
    <row r="32" customFormat="false" ht="15" hidden="false" customHeight="false" outlineLevel="0" collapsed="false">
      <c r="B32" s="44"/>
      <c r="C32" s="44"/>
      <c r="D32" s="44"/>
      <c r="E32" s="44"/>
    </row>
  </sheetData>
  <mergeCells count="1">
    <mergeCell ref="B31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2026-08-09T02:16:02Z</dcterms:created>
  <dc:creator>openpyxl</dc:creator>
  <dc:description/>
  <dc:language>en-US</dc:language>
  <cp:lastModifiedBy/>
  <dcterms:modified xsi:type="dcterms:W3CDTF">2026-08-09T02:16:02Z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